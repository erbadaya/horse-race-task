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esperanza_badaya_ugent_be/Documents/Proj - Horse Race/horse-race-task/exp-2/stimuli/descriptions/"/>
    </mc:Choice>
  </mc:AlternateContent>
  <xr:revisionPtr revIDLastSave="28" documentId="8_{C146619F-CBC7-4156-A0D7-8A761F6C3E34}" xr6:coauthVersionLast="47" xr6:coauthVersionMax="47" xr10:uidLastSave="{FC1F2DD1-6686-4005-983B-4A4EC2624E73}"/>
  <bookViews>
    <workbookView xWindow="28680" yWindow="135" windowWidth="29040" windowHeight="15720" activeTab="1" xr2:uid="{D92D81F9-E137-452C-A904-08C638DB4B9F}"/>
  </bookViews>
  <sheets>
    <sheet name="decisions" sheetId="1" r:id="rId1"/>
    <sheet name="jsPsych-text" sheetId="2" r:id="rId2"/>
  </sheets>
  <definedNames>
    <definedName name="_xlnm._FilterDatabase" localSheetId="0" hidden="1">decisions!$L$1:$N$82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2" i="2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5" i="1"/>
  <c r="Q64" i="1"/>
  <c r="Q63" i="1"/>
  <c r="Q62" i="1"/>
  <c r="Q61" i="1"/>
  <c r="Q60" i="1"/>
  <c r="Q58" i="1"/>
  <c r="Q56" i="1"/>
  <c r="Q55" i="1"/>
  <c r="Q54" i="1"/>
  <c r="Q53" i="1"/>
  <c r="Q52" i="1"/>
  <c r="Q51" i="1"/>
  <c r="Q50" i="1"/>
  <c r="Q49" i="1"/>
  <c r="Q48" i="1"/>
  <c r="Q46" i="1"/>
  <c r="Q44" i="1"/>
  <c r="Q43" i="1"/>
  <c r="Q39" i="1"/>
  <c r="Q38" i="1"/>
  <c r="Q36" i="1"/>
  <c r="Q34" i="1"/>
  <c r="Q28" i="1"/>
  <c r="Q27" i="1"/>
  <c r="Q24" i="1"/>
  <c r="Q23" i="1"/>
  <c r="Q22" i="1"/>
  <c r="Q20" i="1"/>
  <c r="Q19" i="1"/>
  <c r="Q17" i="1"/>
  <c r="Q13" i="1"/>
  <c r="Q2" i="1"/>
  <c r="C82" i="1"/>
  <c r="C81" i="1"/>
  <c r="C80" i="1"/>
  <c r="C79" i="1"/>
  <c r="C78" i="1"/>
  <c r="C77" i="1"/>
  <c r="C76" i="1"/>
  <c r="C75" i="1"/>
  <c r="C74" i="1"/>
  <c r="C73" i="1"/>
  <c r="C72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</calcChain>
</file>

<file path=xl/sharedStrings.xml><?xml version="1.0" encoding="utf-8"?>
<sst xmlns="http://schemas.openxmlformats.org/spreadsheetml/2006/main" count="906" uniqueCount="233">
  <si>
    <t>description</t>
  </si>
  <si>
    <t>horse_name</t>
  </si>
  <si>
    <t>length</t>
  </si>
  <si>
    <t>origin</t>
  </si>
  <si>
    <t>Silversky</t>
  </si>
  <si>
    <t>Karenin is feature placed and can take it to the wire again.</t>
  </si>
  <si>
    <t>Karerin</t>
  </si>
  <si>
    <t>Tagomi came good over an 1 mile 3 furlong and reverted to the flat.</t>
  </si>
  <si>
    <t>Engle has an introductory mark of 72 and will try first-time blinkers.</t>
  </si>
  <si>
    <t>Wingfield could turn on a dime after being given a peach.</t>
  </si>
  <si>
    <t>Boyle has a feather on its back and is coming up the hill.</t>
  </si>
  <si>
    <t>Stockmann could lead them a merry dance after being pipped by a head.</t>
  </si>
  <si>
    <t>Attheraces</t>
  </si>
  <si>
    <t>Created</t>
  </si>
  <si>
    <t>Whispering Wing is a roan filly on the bit.</t>
  </si>
  <si>
    <t>Blue Horizon is now racing without the cheekpieces .</t>
  </si>
  <si>
    <t>Gemini</t>
  </si>
  <si>
    <r>
      <t>Claven</t>
    </r>
    <r>
      <rPr>
        <sz val="11"/>
        <color theme="1"/>
        <rFont val="Aptos"/>
        <family val="2"/>
      </rPr>
      <t xml:space="preserve"> is Khan-bred and rated 69 at their peak</t>
    </r>
  </si>
  <si>
    <r>
      <t xml:space="preserve">Vanya </t>
    </r>
    <r>
      <rPr>
        <sz val="11"/>
        <color theme="1"/>
        <rFont val="Aptos"/>
        <family val="2"/>
      </rPr>
      <t>is reverting to the flat, so</t>
    </r>
    <r>
      <rPr>
        <b/>
        <sz val="11"/>
        <color theme="1"/>
        <rFont val="Aptos"/>
        <family val="2"/>
      </rPr>
      <t xml:space="preserve"> </t>
    </r>
    <r>
      <rPr>
        <sz val="11"/>
        <color theme="1"/>
        <rFont val="Aptos"/>
        <family val="2"/>
      </rPr>
      <t>sand bodes well</t>
    </r>
  </si>
  <si>
    <r>
      <t>Vladimir</t>
    </r>
    <r>
      <rPr>
        <sz val="11"/>
        <color theme="1"/>
        <rFont val="Aptos"/>
        <family val="2"/>
      </rPr>
      <t xml:space="preserve"> was narrowly beaten in a fair maiden on the turf course</t>
    </r>
  </si>
  <si>
    <r>
      <t>Estragon</t>
    </r>
    <r>
      <rPr>
        <sz val="11"/>
        <color theme="1"/>
        <rFont val="Aptos"/>
        <family val="2"/>
      </rPr>
      <t xml:space="preserve"> does well left-handed and secured a first hat-trick last time</t>
    </r>
  </si>
  <si>
    <r>
      <t xml:space="preserve">Lovelace </t>
    </r>
    <r>
      <rPr>
        <sz val="11"/>
        <color theme="1"/>
        <rFont val="Aptos"/>
        <family val="2"/>
      </rPr>
      <t>first-time hood could work the oracle after a promising racecourse bow</t>
    </r>
  </si>
  <si>
    <t>NO KNEE NEVER</t>
  </si>
  <si>
    <t>NO KNEE NEVER has secured two third-placed efforts going into this.</t>
  </si>
  <si>
    <t>Port Louis is a Michael Madgwick-trained and ran a stormer at Doncaster .</t>
  </si>
  <si>
    <t>HE MISS DEIHA (2) has been knocking at the door of late</t>
  </si>
  <si>
    <t>Gilded Lily charged to the line on the gallops</t>
  </si>
  <si>
    <t>Noble steed looks like a treat in the paddock.</t>
  </si>
  <si>
    <t>Emerald was a picture in running at 7 furlongs.</t>
  </si>
  <si>
    <t>Leeloo was on a string despite being collared in the closing stages.</t>
  </si>
  <si>
    <t>Worthing flowed in the turf course running in blinkers.</t>
  </si>
  <si>
    <t>Ironclad bids for a hat-trick after a well-timed double.</t>
  </si>
  <si>
    <t>Urban Legend could be in the mix with a generous weight.</t>
  </si>
  <si>
    <t>Nightfall proved over the trip after running green.</t>
  </si>
  <si>
    <t>Velvet Thunder help up in rear, the drop in trip should suit.</t>
  </si>
  <si>
    <t>Mountain High thrive in handicaps and looks the part.</t>
  </si>
  <si>
    <t>Vivid dream should go well for yard.</t>
  </si>
  <si>
    <t>Misty morning handles the polytrack well.</t>
  </si>
  <si>
    <t>Dancing flame is a classy sort, kepping on at one pace.</t>
  </si>
  <si>
    <t>Summer breeze ran with credit with a tongue-tie fitted.</t>
  </si>
  <si>
    <t>Royal Rebel is visored for the first time.</t>
  </si>
  <si>
    <t>Air Ace, gelded recently, made headway.</t>
  </si>
  <si>
    <t>Star dust is a fettle that shows plenty on the gallops.</t>
  </si>
  <si>
    <r>
      <rPr>
        <b/>
        <sz val="11"/>
        <color theme="1"/>
        <rFont val="Aptos"/>
        <family val="2"/>
      </rPr>
      <t>Silversky</t>
    </r>
    <r>
      <rPr>
        <sz val="11"/>
        <color theme="1"/>
        <rFont val="Aptos"/>
        <family val="2"/>
      </rPr>
      <t xml:space="preserve"> kicked off in his handicap career in the last race.</t>
    </r>
  </si>
  <si>
    <t>Red Meridian caught the eye at the flats.</t>
  </si>
  <si>
    <t>Copper Legacy hung left in the turf course.</t>
  </si>
  <si>
    <t>Crystal Frontier settles well in midfield.</t>
  </si>
  <si>
    <t>Quiet Juror made headway in the 89 mark.</t>
  </si>
  <si>
    <t>Desert Flower runs in snatches, still on the bridle.</t>
  </si>
  <si>
    <t>Indigo Marc found another leg in the last furlong.</t>
  </si>
  <si>
    <t>Green Dusk had a shade snug in the sands last time.</t>
  </si>
  <si>
    <t>Bramble Halo is known for sitting handy and travelling.</t>
  </si>
  <si>
    <t>Pale Corsair found plenty off the bridle.</t>
  </si>
  <si>
    <t>Onyx Rune usually answers every question readily.</t>
  </si>
  <si>
    <t>Moss Relic was always in the box seat under a cool ride.</t>
  </si>
  <si>
    <t>Echo Fury always holds under a tender ride.</t>
  </si>
  <si>
    <t>Black Ember had matters in safekeeping turning in.</t>
  </si>
  <si>
    <t>Solar Flash had a bit to spare off in a quiet sit.</t>
  </si>
  <si>
    <t>Swift Valor went through the bridle approaching the pole.</t>
  </si>
  <si>
    <t>Blue Blaze hit the rising ground on the steel.</t>
  </si>
  <si>
    <t>Brave Horizon had them stretched before the furlong pole.</t>
  </si>
  <si>
    <t>Neon Charger was let in linghtly on prior evidence.</t>
  </si>
  <si>
    <t>Skybreaker has undergone a wind operation and so travelled cleaner.</t>
  </si>
  <si>
    <t>Scarlet Racer is a yard in form and picked up once angled.</t>
  </si>
  <si>
    <t>Flint Sonata, wind op, had been suited by the cut in the ground.</t>
  </si>
  <si>
    <t>Fierce Comet has been partnered by a more positive rider.</t>
  </si>
  <si>
    <t>Gallant Storm was out of a stager and sat box seat.</t>
  </si>
  <si>
    <t>Crimson Eclipse was from in-from yard and always covered.</t>
  </si>
  <si>
    <t>Lunar Charger was bred for trip and came cruising.</t>
  </si>
  <si>
    <t>Saffron Crest was bred stout and asserted without stick.</t>
  </si>
  <si>
    <t>Nimbus Crest is a sharp sire who settled and saw it out.</t>
  </si>
  <si>
    <t>Ticker Pike had it written beforehand.</t>
  </si>
  <si>
    <t>Auric Vale could take the measure twice in first-time hood.</t>
  </si>
  <si>
    <t>Golden Tempest did mind the business end.</t>
  </si>
  <si>
    <t>Lightning Monarch settled his own sums in the turf course.</t>
  </si>
  <si>
    <t>Midnight Inferno nursed it through gears.</t>
  </si>
  <si>
    <t>Electric Stride was by miller and came widest, always holding.</t>
  </si>
  <si>
    <t>Evaluation_ChatGPT_Sense</t>
  </si>
  <si>
    <t>Evaluation_ChatGPT_Quality</t>
  </si>
  <si>
    <t>Evaluation_ChatGPT_Accessibility</t>
  </si>
  <si>
    <t>Ok</t>
  </si>
  <si>
    <t>Medium</t>
  </si>
  <si>
    <t>Not clear enough</t>
  </si>
  <si>
    <t>Medium-high</t>
  </si>
  <si>
    <t>High</t>
  </si>
  <si>
    <t>Unclear (peach idiom vague)</t>
  </si>
  <si>
    <t>Low-medium</t>
  </si>
  <si>
    <t>Wingfield could accelerate sharply after a strong ride.</t>
  </si>
  <si>
    <t>Unclear (feather on its back)</t>
  </si>
  <si>
    <t>Unknown</t>
  </si>
  <si>
    <t>Low</t>
  </si>
  <si>
    <t>Boyle is lightly built and improving steadily uphill in stamina tests</t>
  </si>
  <si>
    <t>Ok (odd naming tone)</t>
  </si>
  <si>
    <t>Slightly unclear (fillies cannot be aking)</t>
  </si>
  <si>
    <t>Ocean spray is a strong traveler, likely to be in the shake-up.</t>
  </si>
  <si>
    <t>Unclear (is a fettle)</t>
  </si>
  <si>
    <t>No</t>
  </si>
  <si>
    <t>Awkward</t>
  </si>
  <si>
    <t>Unclear (always covered)</t>
  </si>
  <si>
    <t>Vague (written before hand)</t>
  </si>
  <si>
    <t>Silver Phantom heard the clock tick in the last furlong.</t>
  </si>
  <si>
    <t>Clear winners</t>
  </si>
  <si>
    <t>Winner</t>
  </si>
  <si>
    <t>Outlier</t>
  </si>
  <si>
    <t>Loser</t>
  </si>
  <si>
    <t>Tagomi</t>
  </si>
  <si>
    <t>Engle</t>
  </si>
  <si>
    <t>Wingfield</t>
  </si>
  <si>
    <t>Boyle</t>
  </si>
  <si>
    <t>Stockmann</t>
  </si>
  <si>
    <t>Claven</t>
  </si>
  <si>
    <t>Vanya</t>
  </si>
  <si>
    <t>Vladimir</t>
  </si>
  <si>
    <t>Estragon</t>
  </si>
  <si>
    <t>Lovelace</t>
  </si>
  <si>
    <t>Whispering Wing</t>
  </si>
  <si>
    <t>Blue Horizon</t>
  </si>
  <si>
    <t>Port Louis</t>
  </si>
  <si>
    <t>He MISS DEIHA</t>
  </si>
  <si>
    <t>Celestial Queen</t>
  </si>
  <si>
    <t>Celestial Queen answered every call in a field of fillies.</t>
  </si>
  <si>
    <t>Gilded Lily</t>
  </si>
  <si>
    <t>Noble steed</t>
  </si>
  <si>
    <t>Emerald was</t>
  </si>
  <si>
    <t>Leeloo was</t>
  </si>
  <si>
    <t>Worthing flowed</t>
  </si>
  <si>
    <t>Ironclad bids</t>
  </si>
  <si>
    <t>Urban Legend</t>
  </si>
  <si>
    <t>Nightfall proved</t>
  </si>
  <si>
    <t>Velvet Thunder</t>
  </si>
  <si>
    <t>Mountain High</t>
  </si>
  <si>
    <t>Vivid dream</t>
  </si>
  <si>
    <t>Misty morning</t>
  </si>
  <si>
    <t>Dancing flame</t>
  </si>
  <si>
    <t>Ocean spray</t>
  </si>
  <si>
    <t>Summer breeze</t>
  </si>
  <si>
    <t>Royal Rebel</t>
  </si>
  <si>
    <t>Air Ace</t>
  </si>
  <si>
    <t>Star dust</t>
  </si>
  <si>
    <t>Red Meridian</t>
  </si>
  <si>
    <t>Copper Legacy</t>
  </si>
  <si>
    <t>Crystal Frontier</t>
  </si>
  <si>
    <t>Quiet Juror</t>
  </si>
  <si>
    <t>Desert Flower</t>
  </si>
  <si>
    <t>Indigo Marc</t>
  </si>
  <si>
    <t>Green Dusk</t>
  </si>
  <si>
    <t>Bramble Halo</t>
  </si>
  <si>
    <t>Pale Corsair</t>
  </si>
  <si>
    <t>Onyx Rune</t>
  </si>
  <si>
    <t>Moss Relic</t>
  </si>
  <si>
    <t>Echo Fury</t>
  </si>
  <si>
    <t>Black Ember</t>
  </si>
  <si>
    <t>Solar Flash</t>
  </si>
  <si>
    <t>Swift Valor</t>
  </si>
  <si>
    <t>Blue Blaze</t>
  </si>
  <si>
    <t>Brave Horizon</t>
  </si>
  <si>
    <t>Neon Charger</t>
  </si>
  <si>
    <t>Skybreaker has</t>
  </si>
  <si>
    <t>Scarlet Racer</t>
  </si>
  <si>
    <t>Flint Sonata</t>
  </si>
  <si>
    <t>Fierce Comet</t>
  </si>
  <si>
    <t>Gallant Storm</t>
  </si>
  <si>
    <t>Crimson Eclipse</t>
  </si>
  <si>
    <t>Lunar Charger</t>
  </si>
  <si>
    <t>Saffron Crest</t>
  </si>
  <si>
    <t>Nimbus Crest</t>
  </si>
  <si>
    <t>Ticker Pike</t>
  </si>
  <si>
    <t>Auric Vale</t>
  </si>
  <si>
    <t>Golden Tempest</t>
  </si>
  <si>
    <t>Silver Phantom</t>
  </si>
  <si>
    <t>Lightning Monarch</t>
  </si>
  <si>
    <t>Midnight Inferno</t>
  </si>
  <si>
    <t>Electric Stride</t>
  </si>
  <si>
    <t>Final decision_validation</t>
  </si>
  <si>
    <t>We need 60 to validate!</t>
  </si>
  <si>
    <t>Stays</t>
  </si>
  <si>
    <t>Out</t>
  </si>
  <si>
    <t>Needs edit?</t>
  </si>
  <si>
    <t>Yes</t>
  </si>
  <si>
    <t>Final_version</t>
  </si>
  <si>
    <t>Karenin was featured placed and took it to the wire.</t>
  </si>
  <si>
    <t>Stockman led them a merry dance after being pipped.</t>
  </si>
  <si>
    <t>Blue Horizon race without the cheekpieces</t>
  </si>
  <si>
    <t>Vanya reverted to the flat and the sand boded well.</t>
  </si>
  <si>
    <t>Estragon was left-handed and secured a hat-trick.</t>
  </si>
  <si>
    <t>Noble Steed looked like a treat in the paddock.</t>
  </si>
  <si>
    <t>Urban Legend was in the mix with a generous weight.</t>
  </si>
  <si>
    <t>Mountain High thrived in handicaps and looked the part.</t>
  </si>
  <si>
    <t>Vivid Dream went well for the yard.</t>
  </si>
  <si>
    <t>Misty Morning handled the polytrack well.</t>
  </si>
  <si>
    <t>Dancing Flamde is a classy sort, kept on at one pace.</t>
  </si>
  <si>
    <t>Ocean Spray is a strong traveler, who was in the shake-up.</t>
  </si>
  <si>
    <t>Royal Rebel was visored for the first time.</t>
  </si>
  <si>
    <t>Star Dust is a fettle that showed plenty on the gallops.</t>
  </si>
  <si>
    <t>Crystal Frontier settled well in midfield.</t>
  </si>
  <si>
    <t>Desert Flower ran in snatches, still on the bridle.</t>
  </si>
  <si>
    <t>Bramble Hallo was known for sitting handy and traveling.</t>
  </si>
  <si>
    <t>Onyx Rune answered every question readily.</t>
  </si>
  <si>
    <t>Scarlet Racer was a yard in form and picked up once angled.</t>
  </si>
  <si>
    <t>Fierce Comer was partner by a more positive rider.</t>
  </si>
  <si>
    <t>Auric Vale took the measure twice in first-time hood.</t>
  </si>
  <si>
    <t>Lovelace was first-time hooded and worked the oracle.</t>
  </si>
  <si>
    <t>Dark Mirage found the seam with first-time blinkers.</t>
  </si>
  <si>
    <t>Windchaser had the edge without showing in the turfs.</t>
  </si>
  <si>
    <t>Flashfire had a line to the judge being covered.</t>
  </si>
  <si>
    <t>Comet Stride had claimer and came widest.</t>
  </si>
  <si>
    <t>Ruby Ash had a stripped fitter for the reappearance.</t>
  </si>
  <si>
    <t>Diamond Hood found under minimal cajoling.</t>
  </si>
  <si>
    <t>Silent Eclipse travelled into the dip, digging deep.</t>
  </si>
  <si>
    <t>Wave Rider broke hearts late after dropping in class.</t>
  </si>
  <si>
    <t>Unclear</t>
  </si>
  <si>
    <t>Ok but awkward</t>
  </si>
  <si>
    <t>Bold Pride was from a shrewd yard and cruising.</t>
  </si>
  <si>
    <t>Oblique runner switched yards, hitting rising ground on steel.</t>
  </si>
  <si>
    <t>Unclear grammar</t>
  </si>
  <si>
    <t>Steady Fighter had afterburners, scrambling home the last furlong.</t>
  </si>
  <si>
    <t>Silversky kicked off in his handicap career in the last race.</t>
  </si>
  <si>
    <t>Dark Mirage</t>
  </si>
  <si>
    <t>Comet Stride</t>
  </si>
  <si>
    <t>Bold Pride</t>
  </si>
  <si>
    <t>Ruby Ash</t>
  </si>
  <si>
    <t>Diamond Hood</t>
  </si>
  <si>
    <t>Silent Eclipse</t>
  </si>
  <si>
    <t>Wave Rider</t>
  </si>
  <si>
    <t>Steady Fighter</t>
  </si>
  <si>
    <t xml:space="preserve">Windchaser </t>
  </si>
  <si>
    <t>Flashfire</t>
  </si>
  <si>
    <t>Oblique</t>
  </si>
  <si>
    <t>jsPsych-text</t>
  </si>
  <si>
    <t>Blue Horizon race without the cheekpieces.</t>
  </si>
  <si>
    <t>Vladimir was narrowly beaten in a fair maiden on the turf course.</t>
  </si>
  <si>
    <t>Gilded Lily charged to the line on the gallops.</t>
  </si>
  <si>
    <t>horse_description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</si>
</sst>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2F2B-CB34-44D6-9D20-F3E82F700832}">
  <sheetPr filterMode="1"/>
  <dimension ref="A1:Q83"/>
  <sheetViews>
    <sheetView topLeftCell="A38" zoomScale="70" zoomScaleNormal="70" workbookViewId="0">
      <selection activeCell="G56" sqref="G56"/>
    </sheetView>
  </sheetViews>
  <sheetFormatPr defaultRowHeight="15" x14ac:dyDescent="0.25"/>
  <cols>
    <col min="1" max="1" width="87.42578125" bestFit="1" customWidth="1"/>
    <col min="2" max="2" width="13.5703125" customWidth="1"/>
    <col min="3" max="3" width="7.28515625" bestFit="1" customWidth="1"/>
    <col min="4" max="4" width="11.5703125" customWidth="1"/>
    <col min="5" max="5" width="26.85546875" bestFit="1" customWidth="1"/>
    <col min="6" max="6" width="26.5703125" bestFit="1" customWidth="1"/>
    <col min="7" max="7" width="31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78</v>
      </c>
      <c r="G1" t="s">
        <v>79</v>
      </c>
      <c r="I1" t="s">
        <v>101</v>
      </c>
      <c r="L1" t="s">
        <v>173</v>
      </c>
      <c r="M1" t="s">
        <v>177</v>
      </c>
      <c r="N1" t="s">
        <v>174</v>
      </c>
      <c r="Q1" t="s">
        <v>179</v>
      </c>
    </row>
    <row r="2" spans="1:17" x14ac:dyDescent="0.25">
      <c r="A2" s="1" t="s">
        <v>43</v>
      </c>
      <c r="B2" t="s">
        <v>4</v>
      </c>
      <c r="C2">
        <f>IF(LEN(TRIM(A2))=0,0,LEN(TRIM(A2))-LEN(SUBSTITUTE(TRIM(A2)," ",""))+1)</f>
        <v>11</v>
      </c>
      <c r="D2" t="s">
        <v>12</v>
      </c>
      <c r="E2" t="s">
        <v>80</v>
      </c>
      <c r="F2" t="s">
        <v>81</v>
      </c>
      <c r="G2" t="s">
        <v>81</v>
      </c>
      <c r="H2" t="s">
        <v>82</v>
      </c>
      <c r="L2" t="s">
        <v>175</v>
      </c>
      <c r="M2" t="s">
        <v>96</v>
      </c>
      <c r="Q2" t="str">
        <f>IF(M2="No", A2, Q2)</f>
        <v>Silversky kicked off in his handicap career in the last race.</v>
      </c>
    </row>
    <row r="3" spans="1:17" x14ac:dyDescent="0.25">
      <c r="A3" t="s">
        <v>5</v>
      </c>
      <c r="B3" t="s">
        <v>6</v>
      </c>
      <c r="C3">
        <f t="shared" ref="C3:C66" si="0">IF(LEN(TRIM(A3))=0,0,LEN(TRIM(A3))-LEN(SUBSTITUTE(TRIM(A3)," ",""))+1)</f>
        <v>12</v>
      </c>
      <c r="D3" t="s">
        <v>12</v>
      </c>
      <c r="E3" t="s">
        <v>80</v>
      </c>
      <c r="F3" t="s">
        <v>83</v>
      </c>
      <c r="G3" t="s">
        <v>84</v>
      </c>
      <c r="L3" t="s">
        <v>175</v>
      </c>
      <c r="M3" t="s">
        <v>178</v>
      </c>
      <c r="Q3" t="s">
        <v>180</v>
      </c>
    </row>
    <row r="4" spans="1:17" hidden="1" x14ac:dyDescent="0.25">
      <c r="A4" t="s">
        <v>7</v>
      </c>
      <c r="B4" t="s">
        <v>105</v>
      </c>
      <c r="C4">
        <f t="shared" si="0"/>
        <v>14</v>
      </c>
      <c r="D4" t="s">
        <v>12</v>
      </c>
      <c r="E4" t="s">
        <v>80</v>
      </c>
      <c r="F4" t="s">
        <v>81</v>
      </c>
      <c r="G4" t="s">
        <v>81</v>
      </c>
      <c r="L4" t="s">
        <v>176</v>
      </c>
      <c r="M4" t="s">
        <v>96</v>
      </c>
    </row>
    <row r="5" spans="1:17" hidden="1" x14ac:dyDescent="0.25">
      <c r="A5" t="s">
        <v>8</v>
      </c>
      <c r="B5" t="s">
        <v>106</v>
      </c>
      <c r="C5">
        <f t="shared" si="0"/>
        <v>12</v>
      </c>
      <c r="D5" t="s">
        <v>12</v>
      </c>
      <c r="E5" t="s">
        <v>80</v>
      </c>
      <c r="F5" t="s">
        <v>81</v>
      </c>
      <c r="G5" t="s">
        <v>81</v>
      </c>
      <c r="L5" t="s">
        <v>176</v>
      </c>
      <c r="M5" t="s">
        <v>96</v>
      </c>
    </row>
    <row r="6" spans="1:17" hidden="1" x14ac:dyDescent="0.25">
      <c r="A6" s="8" t="s">
        <v>9</v>
      </c>
      <c r="B6" t="s">
        <v>107</v>
      </c>
      <c r="C6">
        <f t="shared" si="0"/>
        <v>11</v>
      </c>
      <c r="D6" t="s">
        <v>12</v>
      </c>
      <c r="E6" t="s">
        <v>85</v>
      </c>
      <c r="F6" t="s">
        <v>81</v>
      </c>
      <c r="G6" t="s">
        <v>86</v>
      </c>
      <c r="H6" t="s">
        <v>87</v>
      </c>
      <c r="I6" t="s">
        <v>103</v>
      </c>
      <c r="L6" t="s">
        <v>176</v>
      </c>
      <c r="M6" t="s">
        <v>96</v>
      </c>
    </row>
    <row r="7" spans="1:17" hidden="1" x14ac:dyDescent="0.25">
      <c r="A7" s="8" t="s">
        <v>10</v>
      </c>
      <c r="B7" t="s">
        <v>108</v>
      </c>
      <c r="C7">
        <f t="shared" si="0"/>
        <v>13</v>
      </c>
      <c r="D7" t="s">
        <v>12</v>
      </c>
      <c r="E7" t="s">
        <v>88</v>
      </c>
      <c r="F7" t="s">
        <v>89</v>
      </c>
      <c r="G7" t="s">
        <v>90</v>
      </c>
      <c r="H7" t="s">
        <v>91</v>
      </c>
      <c r="I7" t="s">
        <v>103</v>
      </c>
      <c r="L7" t="s">
        <v>176</v>
      </c>
      <c r="M7" t="s">
        <v>96</v>
      </c>
    </row>
    <row r="8" spans="1:17" x14ac:dyDescent="0.25">
      <c r="A8" t="s">
        <v>11</v>
      </c>
      <c r="B8" t="s">
        <v>109</v>
      </c>
      <c r="C8">
        <f t="shared" si="0"/>
        <v>13</v>
      </c>
      <c r="D8" t="s">
        <v>12</v>
      </c>
      <c r="E8" t="s">
        <v>80</v>
      </c>
      <c r="F8" t="s">
        <v>83</v>
      </c>
      <c r="G8" t="s">
        <v>81</v>
      </c>
      <c r="L8" t="s">
        <v>175</v>
      </c>
      <c r="M8" t="s">
        <v>178</v>
      </c>
      <c r="Q8" t="s">
        <v>181</v>
      </c>
    </row>
    <row r="9" spans="1:17" hidden="1" x14ac:dyDescent="0.25">
      <c r="A9" s="6" t="s">
        <v>14</v>
      </c>
      <c r="B9" t="s">
        <v>115</v>
      </c>
      <c r="C9">
        <f t="shared" si="0"/>
        <v>9</v>
      </c>
      <c r="D9" t="s">
        <v>13</v>
      </c>
      <c r="E9" t="s">
        <v>80</v>
      </c>
      <c r="F9" t="s">
        <v>86</v>
      </c>
      <c r="G9" t="s">
        <v>84</v>
      </c>
      <c r="I9" t="s">
        <v>104</v>
      </c>
      <c r="L9" t="s">
        <v>176</v>
      </c>
      <c r="M9" t="s">
        <v>96</v>
      </c>
    </row>
    <row r="10" spans="1:17" x14ac:dyDescent="0.25">
      <c r="A10" t="s">
        <v>15</v>
      </c>
      <c r="B10" t="s">
        <v>116</v>
      </c>
      <c r="C10">
        <f t="shared" si="0"/>
        <v>9</v>
      </c>
      <c r="D10" t="s">
        <v>16</v>
      </c>
      <c r="E10" t="s">
        <v>80</v>
      </c>
      <c r="F10" t="s">
        <v>81</v>
      </c>
      <c r="G10" t="s">
        <v>84</v>
      </c>
      <c r="L10" t="s">
        <v>175</v>
      </c>
      <c r="M10" t="s">
        <v>178</v>
      </c>
      <c r="Q10" t="s">
        <v>182</v>
      </c>
    </row>
    <row r="11" spans="1:17" hidden="1" x14ac:dyDescent="0.25">
      <c r="A11" s="7" t="s">
        <v>17</v>
      </c>
      <c r="B11" t="s">
        <v>110</v>
      </c>
      <c r="C11">
        <f t="shared" si="0"/>
        <v>9</v>
      </c>
      <c r="D11" t="s">
        <v>12</v>
      </c>
      <c r="E11" t="s">
        <v>80</v>
      </c>
      <c r="F11" t="s">
        <v>81</v>
      </c>
      <c r="G11" t="s">
        <v>81</v>
      </c>
      <c r="I11" t="s">
        <v>104</v>
      </c>
      <c r="L11" t="s">
        <v>176</v>
      </c>
      <c r="M11" t="s">
        <v>96</v>
      </c>
    </row>
    <row r="12" spans="1:17" x14ac:dyDescent="0.25">
      <c r="A12" s="2" t="s">
        <v>18</v>
      </c>
      <c r="B12" t="s">
        <v>111</v>
      </c>
      <c r="C12">
        <f t="shared" si="0"/>
        <v>10</v>
      </c>
      <c r="D12" t="s">
        <v>12</v>
      </c>
      <c r="E12" t="s">
        <v>80</v>
      </c>
      <c r="F12" t="s">
        <v>81</v>
      </c>
      <c r="G12" t="s">
        <v>81</v>
      </c>
      <c r="L12" t="s">
        <v>175</v>
      </c>
      <c r="M12" t="s">
        <v>178</v>
      </c>
      <c r="Q12" t="s">
        <v>183</v>
      </c>
    </row>
    <row r="13" spans="1:17" x14ac:dyDescent="0.25">
      <c r="A13" s="2" t="s">
        <v>19</v>
      </c>
      <c r="B13" t="s">
        <v>112</v>
      </c>
      <c r="C13">
        <f t="shared" si="0"/>
        <v>12</v>
      </c>
      <c r="D13" t="s">
        <v>12</v>
      </c>
      <c r="E13" t="s">
        <v>80</v>
      </c>
      <c r="F13" t="s">
        <v>83</v>
      </c>
      <c r="G13" t="s">
        <v>84</v>
      </c>
      <c r="L13" t="s">
        <v>175</v>
      </c>
      <c r="M13" t="s">
        <v>96</v>
      </c>
      <c r="Q13" t="str">
        <f>A13</f>
        <v>Vladimir was narrowly beaten in a fair maiden on the turf course</v>
      </c>
    </row>
    <row r="14" spans="1:17" x14ac:dyDescent="0.25">
      <c r="A14" s="5" t="s">
        <v>20</v>
      </c>
      <c r="B14" t="s">
        <v>113</v>
      </c>
      <c r="C14">
        <f t="shared" si="0"/>
        <v>11</v>
      </c>
      <c r="D14" t="s">
        <v>12</v>
      </c>
      <c r="E14" t="s">
        <v>80</v>
      </c>
      <c r="F14" t="s">
        <v>84</v>
      </c>
      <c r="G14" t="s">
        <v>81</v>
      </c>
      <c r="I14" t="s">
        <v>102</v>
      </c>
      <c r="L14" t="s">
        <v>175</v>
      </c>
      <c r="M14" t="s">
        <v>178</v>
      </c>
      <c r="Q14" t="s">
        <v>184</v>
      </c>
    </row>
    <row r="15" spans="1:17" x14ac:dyDescent="0.25">
      <c r="A15" s="2" t="s">
        <v>21</v>
      </c>
      <c r="B15" t="s">
        <v>114</v>
      </c>
      <c r="C15">
        <f t="shared" si="0"/>
        <v>12</v>
      </c>
      <c r="D15" t="s">
        <v>12</v>
      </c>
      <c r="E15" t="s">
        <v>80</v>
      </c>
      <c r="F15" t="s">
        <v>83</v>
      </c>
      <c r="G15" t="s">
        <v>81</v>
      </c>
      <c r="L15" t="s">
        <v>175</v>
      </c>
      <c r="M15" t="s">
        <v>178</v>
      </c>
      <c r="Q15" t="s">
        <v>201</v>
      </c>
    </row>
    <row r="16" spans="1:17" hidden="1" x14ac:dyDescent="0.25">
      <c r="A16" s="3" t="s">
        <v>23</v>
      </c>
      <c r="B16" t="s">
        <v>22</v>
      </c>
      <c r="C16">
        <f t="shared" si="0"/>
        <v>11</v>
      </c>
      <c r="D16" t="s">
        <v>12</v>
      </c>
      <c r="E16" t="s">
        <v>92</v>
      </c>
      <c r="F16" t="s">
        <v>81</v>
      </c>
      <c r="G16" t="s">
        <v>84</v>
      </c>
      <c r="L16" t="s">
        <v>176</v>
      </c>
      <c r="M16" t="s">
        <v>96</v>
      </c>
    </row>
    <row r="17" spans="1:17" x14ac:dyDescent="0.25">
      <c r="A17" s="2" t="s">
        <v>24</v>
      </c>
      <c r="B17" t="s">
        <v>117</v>
      </c>
      <c r="C17">
        <f t="shared" si="0"/>
        <v>13</v>
      </c>
      <c r="D17" t="s">
        <v>12</v>
      </c>
      <c r="E17" t="s">
        <v>80</v>
      </c>
      <c r="F17" t="s">
        <v>83</v>
      </c>
      <c r="G17" t="s">
        <v>81</v>
      </c>
      <c r="L17" t="s">
        <v>175</v>
      </c>
      <c r="M17" t="s">
        <v>96</v>
      </c>
      <c r="Q17" t="str">
        <f>A17</f>
        <v>Port Louis is a Michael Madgwick-trained and ran a stormer at Doncaster .</v>
      </c>
    </row>
    <row r="18" spans="1:17" hidden="1" x14ac:dyDescent="0.25">
      <c r="A18" s="2" t="s">
        <v>25</v>
      </c>
      <c r="B18" t="s">
        <v>118</v>
      </c>
      <c r="C18">
        <f t="shared" si="0"/>
        <v>12</v>
      </c>
      <c r="D18" t="s">
        <v>12</v>
      </c>
      <c r="E18" t="s">
        <v>80</v>
      </c>
      <c r="F18" t="s">
        <v>83</v>
      </c>
      <c r="G18" t="s">
        <v>81</v>
      </c>
      <c r="L18" t="s">
        <v>176</v>
      </c>
      <c r="M18" t="s">
        <v>96</v>
      </c>
    </row>
    <row r="19" spans="1:17" x14ac:dyDescent="0.25">
      <c r="A19" s="2" t="s">
        <v>120</v>
      </c>
      <c r="B19" t="s">
        <v>119</v>
      </c>
      <c r="C19">
        <f t="shared" si="0"/>
        <v>10</v>
      </c>
      <c r="D19" t="s">
        <v>13</v>
      </c>
      <c r="E19" t="s">
        <v>93</v>
      </c>
      <c r="F19" t="s">
        <v>83</v>
      </c>
      <c r="G19" t="s">
        <v>81</v>
      </c>
      <c r="L19" t="s">
        <v>175</v>
      </c>
      <c r="M19" t="s">
        <v>96</v>
      </c>
      <c r="Q19" t="str">
        <f t="shared" ref="Q19:Q20" si="1">A19</f>
        <v>Celestial Queen answered every call in a field of fillies.</v>
      </c>
    </row>
    <row r="20" spans="1:17" x14ac:dyDescent="0.25">
      <c r="A20" s="7" t="s">
        <v>26</v>
      </c>
      <c r="B20" t="s">
        <v>121</v>
      </c>
      <c r="C20">
        <f t="shared" si="0"/>
        <v>9</v>
      </c>
      <c r="D20" t="s">
        <v>13</v>
      </c>
      <c r="E20" t="s">
        <v>80</v>
      </c>
      <c r="F20" t="s">
        <v>89</v>
      </c>
      <c r="G20" t="s">
        <v>81</v>
      </c>
      <c r="I20" t="s">
        <v>104</v>
      </c>
      <c r="L20" t="s">
        <v>175</v>
      </c>
      <c r="M20" t="s">
        <v>96</v>
      </c>
      <c r="Q20" t="str">
        <f t="shared" si="1"/>
        <v>Gilded Lily charged to the line on the gallops</v>
      </c>
    </row>
    <row r="21" spans="1:17" hidden="1" x14ac:dyDescent="0.25">
      <c r="A21" s="7" t="s">
        <v>27</v>
      </c>
      <c r="B21" t="s">
        <v>122</v>
      </c>
      <c r="C21">
        <f t="shared" si="0"/>
        <v>9</v>
      </c>
      <c r="D21" t="s">
        <v>13</v>
      </c>
      <c r="E21" t="s">
        <v>80</v>
      </c>
      <c r="F21" t="s">
        <v>89</v>
      </c>
      <c r="G21" t="s">
        <v>84</v>
      </c>
      <c r="I21" t="s">
        <v>104</v>
      </c>
      <c r="L21" t="s">
        <v>176</v>
      </c>
      <c r="M21" t="s">
        <v>178</v>
      </c>
      <c r="Q21" t="s">
        <v>185</v>
      </c>
    </row>
    <row r="22" spans="1:17" x14ac:dyDescent="0.25">
      <c r="A22" s="2" t="s">
        <v>28</v>
      </c>
      <c r="B22" t="s">
        <v>123</v>
      </c>
      <c r="C22">
        <f t="shared" si="0"/>
        <v>9</v>
      </c>
      <c r="D22" t="s">
        <v>13</v>
      </c>
      <c r="E22" t="s">
        <v>80</v>
      </c>
      <c r="F22" t="s">
        <v>81</v>
      </c>
      <c r="G22" t="s">
        <v>81</v>
      </c>
      <c r="L22" t="s">
        <v>175</v>
      </c>
      <c r="M22" t="s">
        <v>96</v>
      </c>
      <c r="Q22" t="str">
        <f t="shared" ref="Q22:Q24" si="2">A22</f>
        <v>Emerald was a picture in running at 7 furlongs.</v>
      </c>
    </row>
    <row r="23" spans="1:17" x14ac:dyDescent="0.25">
      <c r="A23" s="2" t="s">
        <v>29</v>
      </c>
      <c r="B23" t="s">
        <v>124</v>
      </c>
      <c r="C23">
        <f t="shared" si="0"/>
        <v>12</v>
      </c>
      <c r="D23" t="s">
        <v>13</v>
      </c>
      <c r="E23" t="s">
        <v>80</v>
      </c>
      <c r="F23" t="s">
        <v>83</v>
      </c>
      <c r="G23" t="s">
        <v>81</v>
      </c>
      <c r="L23" t="s">
        <v>175</v>
      </c>
      <c r="M23" t="s">
        <v>96</v>
      </c>
      <c r="Q23" t="str">
        <f t="shared" si="2"/>
        <v>Leeloo was on a string despite being collared in the closing stages.</v>
      </c>
    </row>
    <row r="24" spans="1:17" x14ac:dyDescent="0.25">
      <c r="A24" s="2" t="s">
        <v>30</v>
      </c>
      <c r="B24" t="s">
        <v>125</v>
      </c>
      <c r="C24">
        <f t="shared" si="0"/>
        <v>9</v>
      </c>
      <c r="D24" t="s">
        <v>13</v>
      </c>
      <c r="E24" t="s">
        <v>80</v>
      </c>
      <c r="F24" t="s">
        <v>81</v>
      </c>
      <c r="G24" t="s">
        <v>81</v>
      </c>
      <c r="L24" t="s">
        <v>175</v>
      </c>
      <c r="M24" t="s">
        <v>96</v>
      </c>
      <c r="Q24" t="str">
        <f t="shared" si="2"/>
        <v>Worthing flowed in the turf course running in blinkers.</v>
      </c>
    </row>
    <row r="25" spans="1:17" hidden="1" x14ac:dyDescent="0.25">
      <c r="A25" s="4" t="s">
        <v>31</v>
      </c>
      <c r="B25" t="s">
        <v>126</v>
      </c>
      <c r="C25">
        <f t="shared" si="0"/>
        <v>9</v>
      </c>
      <c r="D25" t="s">
        <v>13</v>
      </c>
      <c r="E25" t="s">
        <v>80</v>
      </c>
      <c r="F25" t="s">
        <v>84</v>
      </c>
      <c r="G25" t="s">
        <v>84</v>
      </c>
      <c r="I25" t="s">
        <v>102</v>
      </c>
      <c r="L25" t="s">
        <v>176</v>
      </c>
      <c r="M25" t="s">
        <v>96</v>
      </c>
    </row>
    <row r="26" spans="1:17" x14ac:dyDescent="0.25">
      <c r="A26" s="2" t="s">
        <v>32</v>
      </c>
      <c r="B26" t="s">
        <v>127</v>
      </c>
      <c r="C26">
        <f t="shared" si="0"/>
        <v>11</v>
      </c>
      <c r="D26" t="s">
        <v>13</v>
      </c>
      <c r="E26" t="s">
        <v>80</v>
      </c>
      <c r="F26" t="s">
        <v>81</v>
      </c>
      <c r="G26" t="s">
        <v>84</v>
      </c>
      <c r="L26" t="s">
        <v>175</v>
      </c>
      <c r="M26" t="s">
        <v>178</v>
      </c>
      <c r="Q26" t="s">
        <v>186</v>
      </c>
    </row>
    <row r="27" spans="1:17" x14ac:dyDescent="0.25">
      <c r="A27" s="2" t="s">
        <v>33</v>
      </c>
      <c r="B27" t="s">
        <v>128</v>
      </c>
      <c r="C27">
        <f t="shared" si="0"/>
        <v>8</v>
      </c>
      <c r="D27" t="s">
        <v>13</v>
      </c>
      <c r="E27" t="s">
        <v>80</v>
      </c>
      <c r="F27" t="s">
        <v>81</v>
      </c>
      <c r="G27" t="s">
        <v>81</v>
      </c>
      <c r="L27" t="s">
        <v>175</v>
      </c>
      <c r="M27" t="s">
        <v>96</v>
      </c>
      <c r="Q27" t="str">
        <f t="shared" ref="Q27:Q28" si="3">A27</f>
        <v>Nightfall proved over the trip after running green.</v>
      </c>
    </row>
    <row r="28" spans="1:17" x14ac:dyDescent="0.25">
      <c r="A28" s="2" t="s">
        <v>34</v>
      </c>
      <c r="B28" t="s">
        <v>129</v>
      </c>
      <c r="C28">
        <f t="shared" si="0"/>
        <v>12</v>
      </c>
      <c r="D28" t="s">
        <v>13</v>
      </c>
      <c r="E28" t="s">
        <v>80</v>
      </c>
      <c r="F28" t="s">
        <v>83</v>
      </c>
      <c r="G28" t="s">
        <v>81</v>
      </c>
      <c r="L28" t="s">
        <v>175</v>
      </c>
      <c r="M28" t="s">
        <v>96</v>
      </c>
      <c r="Q28" t="str">
        <f t="shared" si="3"/>
        <v>Velvet Thunder help up in rear, the drop in trip should suit.</v>
      </c>
    </row>
    <row r="29" spans="1:17" hidden="1" x14ac:dyDescent="0.25">
      <c r="A29" s="5" t="s">
        <v>35</v>
      </c>
      <c r="B29" t="s">
        <v>130</v>
      </c>
      <c r="C29">
        <f t="shared" si="0"/>
        <v>9</v>
      </c>
      <c r="D29" t="s">
        <v>13</v>
      </c>
      <c r="E29" t="s">
        <v>80</v>
      </c>
      <c r="F29" t="s">
        <v>84</v>
      </c>
      <c r="G29" t="s">
        <v>84</v>
      </c>
      <c r="I29" t="s">
        <v>102</v>
      </c>
      <c r="L29" t="s">
        <v>176</v>
      </c>
      <c r="M29" t="s">
        <v>178</v>
      </c>
      <c r="Q29" t="s">
        <v>187</v>
      </c>
    </row>
    <row r="30" spans="1:17" hidden="1" x14ac:dyDescent="0.25">
      <c r="A30" s="2" t="s">
        <v>36</v>
      </c>
      <c r="B30" t="s">
        <v>131</v>
      </c>
      <c r="C30">
        <f t="shared" si="0"/>
        <v>7</v>
      </c>
      <c r="D30" t="s">
        <v>13</v>
      </c>
      <c r="E30" t="s">
        <v>80</v>
      </c>
      <c r="F30" t="s">
        <v>81</v>
      </c>
      <c r="G30" t="s">
        <v>84</v>
      </c>
      <c r="L30" t="s">
        <v>176</v>
      </c>
      <c r="M30" t="s">
        <v>178</v>
      </c>
      <c r="Q30" t="s">
        <v>188</v>
      </c>
    </row>
    <row r="31" spans="1:17" hidden="1" x14ac:dyDescent="0.25">
      <c r="A31" s="2" t="s">
        <v>37</v>
      </c>
      <c r="B31" t="s">
        <v>132</v>
      </c>
      <c r="C31">
        <f t="shared" si="0"/>
        <v>6</v>
      </c>
      <c r="D31" t="s">
        <v>13</v>
      </c>
      <c r="E31" t="s">
        <v>80</v>
      </c>
      <c r="F31" t="s">
        <v>81</v>
      </c>
      <c r="G31" t="s">
        <v>84</v>
      </c>
      <c r="L31" t="s">
        <v>176</v>
      </c>
      <c r="M31" t="s">
        <v>178</v>
      </c>
      <c r="Q31" t="s">
        <v>189</v>
      </c>
    </row>
    <row r="32" spans="1:17" hidden="1" x14ac:dyDescent="0.25">
      <c r="A32" s="2" t="s">
        <v>38</v>
      </c>
      <c r="B32" t="s">
        <v>133</v>
      </c>
      <c r="C32">
        <f t="shared" si="0"/>
        <v>11</v>
      </c>
      <c r="D32" t="s">
        <v>13</v>
      </c>
      <c r="E32" t="s">
        <v>80</v>
      </c>
      <c r="F32" t="s">
        <v>83</v>
      </c>
      <c r="G32" t="s">
        <v>84</v>
      </c>
      <c r="L32" t="s">
        <v>176</v>
      </c>
      <c r="M32" t="s">
        <v>178</v>
      </c>
      <c r="Q32" t="s">
        <v>190</v>
      </c>
    </row>
    <row r="33" spans="1:17" hidden="1" x14ac:dyDescent="0.25">
      <c r="A33" s="2" t="s">
        <v>94</v>
      </c>
      <c r="B33" t="s">
        <v>134</v>
      </c>
      <c r="C33">
        <f t="shared" si="0"/>
        <v>12</v>
      </c>
      <c r="D33" t="s">
        <v>13</v>
      </c>
      <c r="E33" t="s">
        <v>80</v>
      </c>
      <c r="F33" t="s">
        <v>83</v>
      </c>
      <c r="G33" t="s">
        <v>81</v>
      </c>
      <c r="L33" t="s">
        <v>176</v>
      </c>
      <c r="M33" t="s">
        <v>178</v>
      </c>
      <c r="Q33" t="s">
        <v>191</v>
      </c>
    </row>
    <row r="34" spans="1:17" x14ac:dyDescent="0.25">
      <c r="A34" s="2" t="s">
        <v>39</v>
      </c>
      <c r="B34" t="s">
        <v>135</v>
      </c>
      <c r="C34">
        <f t="shared" si="0"/>
        <v>9</v>
      </c>
      <c r="D34" t="s">
        <v>13</v>
      </c>
      <c r="E34" t="s">
        <v>80</v>
      </c>
      <c r="F34" t="s">
        <v>81</v>
      </c>
      <c r="G34" t="s">
        <v>84</v>
      </c>
      <c r="L34" t="s">
        <v>175</v>
      </c>
      <c r="M34" t="s">
        <v>96</v>
      </c>
      <c r="Q34" t="str">
        <f>A34</f>
        <v>Summer breeze ran with credit with a tongue-tie fitted.</v>
      </c>
    </row>
    <row r="35" spans="1:17" x14ac:dyDescent="0.25">
      <c r="A35" s="2" t="s">
        <v>40</v>
      </c>
      <c r="B35" t="s">
        <v>136</v>
      </c>
      <c r="C35">
        <f t="shared" si="0"/>
        <v>8</v>
      </c>
      <c r="D35" t="s">
        <v>13</v>
      </c>
      <c r="E35" t="s">
        <v>80</v>
      </c>
      <c r="F35" t="s">
        <v>81</v>
      </c>
      <c r="G35" t="s">
        <v>84</v>
      </c>
      <c r="L35" t="s">
        <v>175</v>
      </c>
      <c r="M35" t="s">
        <v>178</v>
      </c>
      <c r="Q35" t="s">
        <v>192</v>
      </c>
    </row>
    <row r="36" spans="1:17" x14ac:dyDescent="0.25">
      <c r="A36" s="2" t="s">
        <v>41</v>
      </c>
      <c r="B36" t="s">
        <v>137</v>
      </c>
      <c r="C36">
        <f t="shared" si="0"/>
        <v>6</v>
      </c>
      <c r="D36" t="s">
        <v>13</v>
      </c>
      <c r="E36" t="s">
        <v>80</v>
      </c>
      <c r="F36" t="s">
        <v>81</v>
      </c>
      <c r="G36" t="s">
        <v>84</v>
      </c>
      <c r="L36" t="s">
        <v>175</v>
      </c>
      <c r="M36" t="s">
        <v>96</v>
      </c>
      <c r="Q36" t="str">
        <f>A36</f>
        <v>Air Ace, gelded recently, made headway.</v>
      </c>
    </row>
    <row r="37" spans="1:17" x14ac:dyDescent="0.25">
      <c r="A37" s="9" t="s">
        <v>42</v>
      </c>
      <c r="B37" t="s">
        <v>138</v>
      </c>
      <c r="C37">
        <f t="shared" si="0"/>
        <v>11</v>
      </c>
      <c r="D37" t="s">
        <v>13</v>
      </c>
      <c r="E37" t="s">
        <v>95</v>
      </c>
      <c r="F37" t="s">
        <v>89</v>
      </c>
      <c r="G37" t="s">
        <v>90</v>
      </c>
      <c r="I37" t="s">
        <v>103</v>
      </c>
      <c r="L37" t="s">
        <v>175</v>
      </c>
      <c r="M37" t="s">
        <v>178</v>
      </c>
      <c r="Q37" t="s">
        <v>193</v>
      </c>
    </row>
    <row r="38" spans="1:17" x14ac:dyDescent="0.25">
      <c r="A38" s="2" t="s">
        <v>44</v>
      </c>
      <c r="B38" t="s">
        <v>139</v>
      </c>
      <c r="C38">
        <f t="shared" si="0"/>
        <v>8</v>
      </c>
      <c r="D38" t="s">
        <v>13</v>
      </c>
      <c r="E38" t="s">
        <v>80</v>
      </c>
      <c r="F38" t="s">
        <v>81</v>
      </c>
      <c r="G38" t="s">
        <v>84</v>
      </c>
      <c r="L38" t="s">
        <v>175</v>
      </c>
      <c r="M38" t="s">
        <v>96</v>
      </c>
      <c r="Q38" t="str">
        <f t="shared" ref="Q38:Q39" si="4">A38</f>
        <v>Red Meridian caught the eye at the flats.</v>
      </c>
    </row>
    <row r="39" spans="1:17" x14ac:dyDescent="0.25">
      <c r="A39" s="2" t="s">
        <v>45</v>
      </c>
      <c r="B39" t="s">
        <v>140</v>
      </c>
      <c r="C39">
        <f t="shared" si="0"/>
        <v>8</v>
      </c>
      <c r="D39" t="s">
        <v>13</v>
      </c>
      <c r="E39" t="s">
        <v>80</v>
      </c>
      <c r="F39" t="s">
        <v>81</v>
      </c>
      <c r="G39" t="s">
        <v>81</v>
      </c>
      <c r="L39" t="s">
        <v>175</v>
      </c>
      <c r="M39" t="s">
        <v>96</v>
      </c>
      <c r="Q39" t="str">
        <f t="shared" si="4"/>
        <v>Copper Legacy hung left in the turf course.</v>
      </c>
    </row>
    <row r="40" spans="1:17" x14ac:dyDescent="0.25">
      <c r="A40" s="2" t="s">
        <v>46</v>
      </c>
      <c r="B40" t="s">
        <v>141</v>
      </c>
      <c r="C40">
        <f t="shared" si="0"/>
        <v>6</v>
      </c>
      <c r="D40" t="s">
        <v>13</v>
      </c>
      <c r="E40" t="s">
        <v>80</v>
      </c>
      <c r="F40" t="s">
        <v>81</v>
      </c>
      <c r="G40" t="s">
        <v>84</v>
      </c>
      <c r="L40" t="s">
        <v>175</v>
      </c>
      <c r="M40" t="s">
        <v>178</v>
      </c>
      <c r="Q40" t="s">
        <v>194</v>
      </c>
    </row>
    <row r="41" spans="1:17" hidden="1" x14ac:dyDescent="0.25">
      <c r="A41" s="2" t="s">
        <v>47</v>
      </c>
      <c r="B41" t="s">
        <v>142</v>
      </c>
      <c r="C41">
        <f t="shared" si="0"/>
        <v>8</v>
      </c>
      <c r="D41" t="s">
        <v>13</v>
      </c>
      <c r="E41" t="s">
        <v>80</v>
      </c>
      <c r="F41" t="s">
        <v>83</v>
      </c>
      <c r="G41" t="s">
        <v>81</v>
      </c>
      <c r="L41" t="s">
        <v>176</v>
      </c>
      <c r="M41" t="s">
        <v>96</v>
      </c>
    </row>
    <row r="42" spans="1:17" x14ac:dyDescent="0.25">
      <c r="A42" s="2" t="s">
        <v>48</v>
      </c>
      <c r="B42" t="s">
        <v>143</v>
      </c>
      <c r="C42">
        <f t="shared" si="0"/>
        <v>9</v>
      </c>
      <c r="D42" t="s">
        <v>13</v>
      </c>
      <c r="E42" t="s">
        <v>80</v>
      </c>
      <c r="F42" t="s">
        <v>81</v>
      </c>
      <c r="G42" t="s">
        <v>81</v>
      </c>
      <c r="L42" t="s">
        <v>175</v>
      </c>
      <c r="M42" t="s">
        <v>178</v>
      </c>
      <c r="Q42" t="s">
        <v>195</v>
      </c>
    </row>
    <row r="43" spans="1:17" x14ac:dyDescent="0.25">
      <c r="A43" s="2" t="s">
        <v>49</v>
      </c>
      <c r="B43" t="s">
        <v>144</v>
      </c>
      <c r="C43">
        <f t="shared" si="0"/>
        <v>9</v>
      </c>
      <c r="D43" t="s">
        <v>13</v>
      </c>
      <c r="E43" t="s">
        <v>80</v>
      </c>
      <c r="F43" t="s">
        <v>83</v>
      </c>
      <c r="G43" t="s">
        <v>81</v>
      </c>
      <c r="L43" t="s">
        <v>175</v>
      </c>
      <c r="M43" t="s">
        <v>96</v>
      </c>
      <c r="Q43" t="str">
        <f t="shared" ref="Q43:Q44" si="5">A43</f>
        <v>Indigo Marc found another leg in the last furlong.</v>
      </c>
    </row>
    <row r="44" spans="1:17" x14ac:dyDescent="0.25">
      <c r="A44" s="2" t="s">
        <v>50</v>
      </c>
      <c r="B44" t="s">
        <v>145</v>
      </c>
      <c r="C44">
        <f t="shared" si="0"/>
        <v>11</v>
      </c>
      <c r="D44" t="s">
        <v>13</v>
      </c>
      <c r="E44" t="s">
        <v>80</v>
      </c>
      <c r="F44" t="s">
        <v>81</v>
      </c>
      <c r="G44" t="s">
        <v>81</v>
      </c>
      <c r="L44" t="s">
        <v>175</v>
      </c>
      <c r="M44" t="s">
        <v>96</v>
      </c>
      <c r="Q44" t="str">
        <f t="shared" si="5"/>
        <v>Green Dusk had a shade snug in the sands last time.</v>
      </c>
    </row>
    <row r="45" spans="1:17" x14ac:dyDescent="0.25">
      <c r="A45" s="2" t="s">
        <v>51</v>
      </c>
      <c r="B45" t="s">
        <v>146</v>
      </c>
      <c r="C45">
        <f t="shared" si="0"/>
        <v>9</v>
      </c>
      <c r="D45" t="s">
        <v>13</v>
      </c>
      <c r="E45" t="s">
        <v>80</v>
      </c>
      <c r="F45" t="s">
        <v>81</v>
      </c>
      <c r="G45" t="s">
        <v>84</v>
      </c>
      <c r="L45" t="s">
        <v>175</v>
      </c>
      <c r="M45" t="s">
        <v>178</v>
      </c>
      <c r="Q45" t="s">
        <v>196</v>
      </c>
    </row>
    <row r="46" spans="1:17" x14ac:dyDescent="0.25">
      <c r="A46" s="2" t="s">
        <v>52</v>
      </c>
      <c r="B46" t="s">
        <v>147</v>
      </c>
      <c r="C46">
        <f t="shared" si="0"/>
        <v>7</v>
      </c>
      <c r="D46" t="s">
        <v>13</v>
      </c>
      <c r="E46" t="s">
        <v>80</v>
      </c>
      <c r="F46" t="s">
        <v>83</v>
      </c>
      <c r="G46" t="s">
        <v>81</v>
      </c>
      <c r="L46" t="s">
        <v>175</v>
      </c>
      <c r="M46" t="s">
        <v>96</v>
      </c>
      <c r="Q46" t="str">
        <f>A46</f>
        <v>Pale Corsair found plenty off the bridle.</v>
      </c>
    </row>
    <row r="47" spans="1:17" x14ac:dyDescent="0.25">
      <c r="A47" s="2" t="s">
        <v>53</v>
      </c>
      <c r="B47" t="s">
        <v>148</v>
      </c>
      <c r="C47">
        <f t="shared" si="0"/>
        <v>7</v>
      </c>
      <c r="D47" t="s">
        <v>13</v>
      </c>
      <c r="E47" t="s">
        <v>80</v>
      </c>
      <c r="F47" t="s">
        <v>84</v>
      </c>
      <c r="G47" t="s">
        <v>81</v>
      </c>
      <c r="L47" t="s">
        <v>175</v>
      </c>
      <c r="M47" t="s">
        <v>178</v>
      </c>
      <c r="Q47" t="s">
        <v>197</v>
      </c>
    </row>
    <row r="48" spans="1:17" x14ac:dyDescent="0.25">
      <c r="A48" s="2" t="s">
        <v>54</v>
      </c>
      <c r="B48" t="s">
        <v>149</v>
      </c>
      <c r="C48">
        <f t="shared" si="0"/>
        <v>12</v>
      </c>
      <c r="D48" t="s">
        <v>13</v>
      </c>
      <c r="E48" t="s">
        <v>80</v>
      </c>
      <c r="F48" t="s">
        <v>83</v>
      </c>
      <c r="G48" t="s">
        <v>81</v>
      </c>
      <c r="L48" t="s">
        <v>175</v>
      </c>
      <c r="M48" t="s">
        <v>96</v>
      </c>
      <c r="Q48" t="str">
        <f t="shared" ref="Q48:Q56" si="6">A48</f>
        <v>Moss Relic was always in the box seat under a cool ride.</v>
      </c>
    </row>
    <row r="49" spans="1:17" x14ac:dyDescent="0.25">
      <c r="A49" s="5" t="s">
        <v>55</v>
      </c>
      <c r="B49" t="s">
        <v>150</v>
      </c>
      <c r="C49">
        <f t="shared" si="0"/>
        <v>8</v>
      </c>
      <c r="D49" t="s">
        <v>13</v>
      </c>
      <c r="E49" t="s">
        <v>80</v>
      </c>
      <c r="F49" t="s">
        <v>84</v>
      </c>
      <c r="G49" t="s">
        <v>84</v>
      </c>
      <c r="I49" t="s">
        <v>102</v>
      </c>
      <c r="L49" t="s">
        <v>175</v>
      </c>
      <c r="M49" t="s">
        <v>96</v>
      </c>
      <c r="Q49" t="str">
        <f t="shared" si="6"/>
        <v>Echo Fury always holds under a tender ride.</v>
      </c>
    </row>
    <row r="50" spans="1:17" x14ac:dyDescent="0.25">
      <c r="A50" s="2" t="s">
        <v>56</v>
      </c>
      <c r="B50" t="s">
        <v>151</v>
      </c>
      <c r="C50">
        <f t="shared" si="0"/>
        <v>8</v>
      </c>
      <c r="D50" t="s">
        <v>13</v>
      </c>
      <c r="E50" t="s">
        <v>80</v>
      </c>
      <c r="F50" t="s">
        <v>83</v>
      </c>
      <c r="G50" t="s">
        <v>81</v>
      </c>
      <c r="L50" t="s">
        <v>175</v>
      </c>
      <c r="M50" t="s">
        <v>96</v>
      </c>
      <c r="Q50" t="str">
        <f t="shared" si="6"/>
        <v>Black Ember had matters in safekeeping turning in.</v>
      </c>
    </row>
    <row r="51" spans="1:17" x14ac:dyDescent="0.25">
      <c r="A51" s="2" t="s">
        <v>57</v>
      </c>
      <c r="B51" t="s">
        <v>152</v>
      </c>
      <c r="C51">
        <f t="shared" si="0"/>
        <v>12</v>
      </c>
      <c r="D51" t="s">
        <v>13</v>
      </c>
      <c r="E51" t="s">
        <v>80</v>
      </c>
      <c r="F51" t="s">
        <v>83</v>
      </c>
      <c r="G51" t="s">
        <v>81</v>
      </c>
      <c r="L51" t="s">
        <v>175</v>
      </c>
      <c r="M51" t="s">
        <v>96</v>
      </c>
      <c r="Q51" t="str">
        <f t="shared" si="6"/>
        <v>Solar Flash had a bit to spare off in a quiet sit.</v>
      </c>
    </row>
    <row r="52" spans="1:17" x14ac:dyDescent="0.25">
      <c r="A52" s="2" t="s">
        <v>58</v>
      </c>
      <c r="B52" t="s">
        <v>153</v>
      </c>
      <c r="C52">
        <f t="shared" si="0"/>
        <v>9</v>
      </c>
      <c r="D52" t="s">
        <v>13</v>
      </c>
      <c r="E52" t="s">
        <v>80</v>
      </c>
      <c r="F52" t="s">
        <v>81</v>
      </c>
      <c r="G52" t="s">
        <v>81</v>
      </c>
      <c r="L52" t="s">
        <v>175</v>
      </c>
      <c r="M52" t="s">
        <v>96</v>
      </c>
      <c r="Q52" t="str">
        <f t="shared" si="6"/>
        <v>Swift Valor went through the bridle approaching the pole.</v>
      </c>
    </row>
    <row r="53" spans="1:17" x14ac:dyDescent="0.25">
      <c r="A53" s="2" t="s">
        <v>59</v>
      </c>
      <c r="B53" t="s">
        <v>154</v>
      </c>
      <c r="C53">
        <f t="shared" si="0"/>
        <v>9</v>
      </c>
      <c r="D53" t="s">
        <v>13</v>
      </c>
      <c r="E53" t="s">
        <v>80</v>
      </c>
      <c r="F53" t="s">
        <v>81</v>
      </c>
      <c r="G53" t="s">
        <v>81</v>
      </c>
      <c r="L53" t="s">
        <v>175</v>
      </c>
      <c r="M53" t="s">
        <v>96</v>
      </c>
      <c r="Q53" t="str">
        <f t="shared" si="6"/>
        <v>Blue Blaze hit the rising ground on the steel.</v>
      </c>
    </row>
    <row r="54" spans="1:17" x14ac:dyDescent="0.25">
      <c r="A54" s="5" t="s">
        <v>60</v>
      </c>
      <c r="B54" t="s">
        <v>155</v>
      </c>
      <c r="C54">
        <f t="shared" si="0"/>
        <v>9</v>
      </c>
      <c r="D54" t="s">
        <v>13</v>
      </c>
      <c r="E54" t="s">
        <v>80</v>
      </c>
      <c r="F54" t="s">
        <v>84</v>
      </c>
      <c r="G54" t="s">
        <v>84</v>
      </c>
      <c r="I54" t="s">
        <v>102</v>
      </c>
      <c r="L54" t="s">
        <v>175</v>
      </c>
      <c r="M54" t="s">
        <v>96</v>
      </c>
      <c r="Q54" t="str">
        <f t="shared" si="6"/>
        <v>Brave Horizon had them stretched before the furlong pole.</v>
      </c>
    </row>
    <row r="55" spans="1:17" x14ac:dyDescent="0.25">
      <c r="A55" s="2" t="s">
        <v>61</v>
      </c>
      <c r="B55" t="s">
        <v>156</v>
      </c>
      <c r="C55">
        <f t="shared" si="0"/>
        <v>9</v>
      </c>
      <c r="D55" t="s">
        <v>13</v>
      </c>
      <c r="E55" t="s">
        <v>80</v>
      </c>
      <c r="F55" t="s">
        <v>83</v>
      </c>
      <c r="G55" t="s">
        <v>81</v>
      </c>
      <c r="L55" t="s">
        <v>175</v>
      </c>
      <c r="M55" t="s">
        <v>96</v>
      </c>
      <c r="Q55" t="str">
        <f t="shared" si="6"/>
        <v>Neon Charger was let in linghtly on prior evidence.</v>
      </c>
    </row>
    <row r="56" spans="1:17" x14ac:dyDescent="0.25">
      <c r="A56" s="2" t="s">
        <v>62</v>
      </c>
      <c r="B56" t="s">
        <v>157</v>
      </c>
      <c r="C56">
        <f t="shared" si="0"/>
        <v>10</v>
      </c>
      <c r="D56" t="s">
        <v>13</v>
      </c>
      <c r="E56" t="s">
        <v>80</v>
      </c>
      <c r="F56" t="s">
        <v>83</v>
      </c>
      <c r="G56" t="s">
        <v>81</v>
      </c>
      <c r="L56" t="s">
        <v>175</v>
      </c>
      <c r="M56" t="s">
        <v>96</v>
      </c>
      <c r="Q56" t="str">
        <f t="shared" si="6"/>
        <v>Skybreaker has undergone a wind operation and so travelled cleaner.</v>
      </c>
    </row>
    <row r="57" spans="1:17" x14ac:dyDescent="0.25">
      <c r="A57" s="5" t="s">
        <v>63</v>
      </c>
      <c r="B57" t="s">
        <v>158</v>
      </c>
      <c r="C57">
        <f t="shared" si="0"/>
        <v>12</v>
      </c>
      <c r="D57" t="s">
        <v>13</v>
      </c>
      <c r="E57" t="s">
        <v>80</v>
      </c>
      <c r="F57" t="s">
        <v>84</v>
      </c>
      <c r="G57" t="s">
        <v>84</v>
      </c>
      <c r="I57" t="s">
        <v>102</v>
      </c>
      <c r="L57" t="s">
        <v>175</v>
      </c>
      <c r="M57" t="s">
        <v>178</v>
      </c>
      <c r="Q57" t="s">
        <v>198</v>
      </c>
    </row>
    <row r="58" spans="1:17" x14ac:dyDescent="0.25">
      <c r="A58" s="2" t="s">
        <v>64</v>
      </c>
      <c r="B58" t="s">
        <v>159</v>
      </c>
      <c r="C58">
        <f t="shared" si="0"/>
        <v>13</v>
      </c>
      <c r="D58" t="s">
        <v>13</v>
      </c>
      <c r="E58" t="s">
        <v>80</v>
      </c>
      <c r="F58" t="s">
        <v>83</v>
      </c>
      <c r="G58" t="s">
        <v>81</v>
      </c>
      <c r="L58" t="s">
        <v>175</v>
      </c>
      <c r="M58" t="s">
        <v>96</v>
      </c>
      <c r="Q58" t="str">
        <f>A58</f>
        <v>Flint Sonata, wind op, had been suited by the cut in the ground.</v>
      </c>
    </row>
    <row r="59" spans="1:17" hidden="1" x14ac:dyDescent="0.25">
      <c r="A59" s="2" t="s">
        <v>65</v>
      </c>
      <c r="B59" t="s">
        <v>160</v>
      </c>
      <c r="C59">
        <f t="shared" si="0"/>
        <v>10</v>
      </c>
      <c r="D59" t="s">
        <v>13</v>
      </c>
      <c r="E59" t="s">
        <v>80</v>
      </c>
      <c r="F59" t="s">
        <v>83</v>
      </c>
      <c r="G59" t="s">
        <v>81</v>
      </c>
      <c r="L59" t="s">
        <v>176</v>
      </c>
      <c r="M59" t="s">
        <v>178</v>
      </c>
      <c r="Q59" t="s">
        <v>199</v>
      </c>
    </row>
    <row r="60" spans="1:17" x14ac:dyDescent="0.25">
      <c r="A60" s="9" t="s">
        <v>66</v>
      </c>
      <c r="B60" t="s">
        <v>161</v>
      </c>
      <c r="C60">
        <f t="shared" si="0"/>
        <v>11</v>
      </c>
      <c r="D60" t="s">
        <v>13</v>
      </c>
      <c r="E60" t="s">
        <v>97</v>
      </c>
      <c r="F60" t="s">
        <v>81</v>
      </c>
      <c r="G60" t="s">
        <v>90</v>
      </c>
      <c r="I60" t="s">
        <v>103</v>
      </c>
      <c r="L60" t="s">
        <v>175</v>
      </c>
      <c r="M60" t="s">
        <v>96</v>
      </c>
      <c r="Q60" t="str">
        <f t="shared" ref="Q60:Q65" si="7">A60</f>
        <v>Gallant Storm was out of a stager and sat box seat.</v>
      </c>
    </row>
    <row r="61" spans="1:17" x14ac:dyDescent="0.25">
      <c r="A61" s="2" t="s">
        <v>67</v>
      </c>
      <c r="B61" t="s">
        <v>162</v>
      </c>
      <c r="C61">
        <f t="shared" si="0"/>
        <v>9</v>
      </c>
      <c r="D61" t="s">
        <v>13</v>
      </c>
      <c r="E61" t="s">
        <v>98</v>
      </c>
      <c r="F61" t="s">
        <v>83</v>
      </c>
      <c r="G61" t="s">
        <v>81</v>
      </c>
      <c r="L61" t="s">
        <v>175</v>
      </c>
      <c r="M61" t="s">
        <v>96</v>
      </c>
      <c r="Q61" t="str">
        <f t="shared" si="7"/>
        <v>Crimson Eclipse was from in-from yard and always covered.</v>
      </c>
    </row>
    <row r="62" spans="1:17" x14ac:dyDescent="0.25">
      <c r="A62" s="5" t="s">
        <v>68</v>
      </c>
      <c r="B62" t="s">
        <v>163</v>
      </c>
      <c r="C62">
        <f t="shared" si="0"/>
        <v>9</v>
      </c>
      <c r="D62" t="s">
        <v>13</v>
      </c>
      <c r="E62" t="s">
        <v>80</v>
      </c>
      <c r="F62" t="s">
        <v>84</v>
      </c>
      <c r="G62" t="s">
        <v>81</v>
      </c>
      <c r="I62" t="s">
        <v>102</v>
      </c>
      <c r="L62" t="s">
        <v>175</v>
      </c>
      <c r="M62" t="s">
        <v>96</v>
      </c>
      <c r="Q62" t="str">
        <f t="shared" si="7"/>
        <v>Lunar Charger was bred for trip and came cruising.</v>
      </c>
    </row>
    <row r="63" spans="1:17" x14ac:dyDescent="0.25">
      <c r="A63" s="5" t="s">
        <v>69</v>
      </c>
      <c r="B63" t="s">
        <v>164</v>
      </c>
      <c r="C63">
        <f t="shared" si="0"/>
        <v>9</v>
      </c>
      <c r="D63" t="s">
        <v>13</v>
      </c>
      <c r="E63" t="s">
        <v>80</v>
      </c>
      <c r="F63" t="s">
        <v>84</v>
      </c>
      <c r="G63" t="s">
        <v>81</v>
      </c>
      <c r="I63" t="s">
        <v>102</v>
      </c>
      <c r="L63" t="s">
        <v>175</v>
      </c>
      <c r="M63" t="s">
        <v>96</v>
      </c>
      <c r="Q63" t="str">
        <f t="shared" si="7"/>
        <v>Saffron Crest was bred stout and asserted without stick.</v>
      </c>
    </row>
    <row r="64" spans="1:17" x14ac:dyDescent="0.25">
      <c r="A64" s="2" t="s">
        <v>70</v>
      </c>
      <c r="B64" t="s">
        <v>165</v>
      </c>
      <c r="C64">
        <f t="shared" si="0"/>
        <v>12</v>
      </c>
      <c r="D64" t="s">
        <v>13</v>
      </c>
      <c r="E64" t="s">
        <v>80</v>
      </c>
      <c r="F64" t="s">
        <v>83</v>
      </c>
      <c r="G64" t="s">
        <v>81</v>
      </c>
      <c r="L64" t="s">
        <v>175</v>
      </c>
      <c r="M64" t="s">
        <v>96</v>
      </c>
      <c r="Q64" t="str">
        <f t="shared" si="7"/>
        <v>Nimbus Crest is a sharp sire who settled and saw it out.</v>
      </c>
    </row>
    <row r="65" spans="1:17" x14ac:dyDescent="0.25">
      <c r="A65" s="9" t="s">
        <v>71</v>
      </c>
      <c r="B65" t="s">
        <v>166</v>
      </c>
      <c r="C65">
        <f t="shared" si="0"/>
        <v>6</v>
      </c>
      <c r="D65" t="s">
        <v>13</v>
      </c>
      <c r="E65" t="s">
        <v>99</v>
      </c>
      <c r="F65" t="s">
        <v>83</v>
      </c>
      <c r="G65" t="s">
        <v>86</v>
      </c>
      <c r="I65" t="s">
        <v>103</v>
      </c>
      <c r="L65" t="s">
        <v>175</v>
      </c>
      <c r="M65" t="s">
        <v>96</v>
      </c>
      <c r="Q65" t="str">
        <f t="shared" si="7"/>
        <v>Ticker Pike had it written beforehand.</v>
      </c>
    </row>
    <row r="66" spans="1:17" x14ac:dyDescent="0.25">
      <c r="A66" s="2" t="s">
        <v>72</v>
      </c>
      <c r="B66" t="s">
        <v>167</v>
      </c>
      <c r="C66">
        <f t="shared" si="0"/>
        <v>10</v>
      </c>
      <c r="D66" t="s">
        <v>13</v>
      </c>
      <c r="E66" t="s">
        <v>80</v>
      </c>
      <c r="F66" t="s">
        <v>83</v>
      </c>
      <c r="G66" t="s">
        <v>81</v>
      </c>
      <c r="L66" t="s">
        <v>175</v>
      </c>
      <c r="M66" t="s">
        <v>178</v>
      </c>
      <c r="Q66" t="s">
        <v>200</v>
      </c>
    </row>
    <row r="67" spans="1:17" x14ac:dyDescent="0.25">
      <c r="A67" s="5" t="s">
        <v>73</v>
      </c>
      <c r="B67" t="s">
        <v>168</v>
      </c>
      <c r="C67">
        <f t="shared" ref="C67:C82" si="8">IF(LEN(TRIM(A67))=0,0,LEN(TRIM(A67))-LEN(SUBSTITUTE(TRIM(A67)," ",""))+1)</f>
        <v>7</v>
      </c>
      <c r="D67" t="s">
        <v>13</v>
      </c>
      <c r="E67" t="s">
        <v>80</v>
      </c>
      <c r="F67" t="s">
        <v>84</v>
      </c>
      <c r="G67" t="s">
        <v>84</v>
      </c>
      <c r="I67" t="s">
        <v>102</v>
      </c>
      <c r="L67" t="s">
        <v>175</v>
      </c>
      <c r="M67" t="s">
        <v>96</v>
      </c>
      <c r="Q67" t="str">
        <f t="shared" ref="Q67:Q82" si="9">A67</f>
        <v>Golden Tempest did mind the business end.</v>
      </c>
    </row>
    <row r="68" spans="1:17" x14ac:dyDescent="0.25">
      <c r="A68" s="2" t="s">
        <v>100</v>
      </c>
      <c r="B68" t="s">
        <v>169</v>
      </c>
      <c r="C68">
        <f t="shared" si="8"/>
        <v>10</v>
      </c>
      <c r="D68" t="s">
        <v>13</v>
      </c>
      <c r="E68" t="s">
        <v>80</v>
      </c>
      <c r="F68" t="s">
        <v>83</v>
      </c>
      <c r="G68" t="s">
        <v>81</v>
      </c>
      <c r="L68" t="s">
        <v>175</v>
      </c>
      <c r="M68" t="s">
        <v>96</v>
      </c>
      <c r="Q68" t="str">
        <f t="shared" si="9"/>
        <v>Silver Phantom heard the clock tick in the last furlong.</v>
      </c>
    </row>
    <row r="69" spans="1:17" x14ac:dyDescent="0.25">
      <c r="A69" s="5" t="s">
        <v>74</v>
      </c>
      <c r="B69" t="s">
        <v>170</v>
      </c>
      <c r="C69">
        <f t="shared" si="8"/>
        <v>10</v>
      </c>
      <c r="D69" t="s">
        <v>13</v>
      </c>
      <c r="E69" t="s">
        <v>80</v>
      </c>
      <c r="F69" t="s">
        <v>84</v>
      </c>
      <c r="G69" t="s">
        <v>83</v>
      </c>
      <c r="I69" t="s">
        <v>102</v>
      </c>
      <c r="L69" t="s">
        <v>175</v>
      </c>
      <c r="M69" t="s">
        <v>96</v>
      </c>
      <c r="Q69" t="str">
        <f t="shared" si="9"/>
        <v>Lightning Monarch settled his own sums in the turf course.</v>
      </c>
    </row>
    <row r="70" spans="1:17" x14ac:dyDescent="0.25">
      <c r="A70" s="5" t="s">
        <v>75</v>
      </c>
      <c r="B70" t="s">
        <v>171</v>
      </c>
      <c r="C70">
        <f t="shared" si="8"/>
        <v>6</v>
      </c>
      <c r="D70" t="s">
        <v>13</v>
      </c>
      <c r="E70" t="s">
        <v>80</v>
      </c>
      <c r="F70" t="s">
        <v>84</v>
      </c>
      <c r="G70" t="s">
        <v>81</v>
      </c>
      <c r="I70" t="s">
        <v>102</v>
      </c>
      <c r="L70" t="s">
        <v>175</v>
      </c>
      <c r="M70" t="s">
        <v>96</v>
      </c>
      <c r="Q70" t="str">
        <f t="shared" si="9"/>
        <v>Midnight Inferno nursed it through gears.</v>
      </c>
    </row>
    <row r="71" spans="1:17" x14ac:dyDescent="0.25">
      <c r="A71" s="2" t="s">
        <v>76</v>
      </c>
      <c r="B71" t="s">
        <v>172</v>
      </c>
      <c r="C71">
        <f t="shared" si="8"/>
        <v>10</v>
      </c>
      <c r="D71" t="s">
        <v>13</v>
      </c>
      <c r="E71" t="s">
        <v>80</v>
      </c>
      <c r="F71" t="s">
        <v>84</v>
      </c>
      <c r="G71" t="s">
        <v>81</v>
      </c>
      <c r="L71" t="s">
        <v>175</v>
      </c>
      <c r="M71" t="s">
        <v>96</v>
      </c>
      <c r="Q71" t="str">
        <f t="shared" si="9"/>
        <v>Electric Stride was by miller and came widest, always holding.</v>
      </c>
    </row>
    <row r="72" spans="1:17" x14ac:dyDescent="0.25">
      <c r="A72" s="2" t="s">
        <v>202</v>
      </c>
      <c r="B72" t="s">
        <v>217</v>
      </c>
      <c r="C72">
        <f t="shared" si="8"/>
        <v>8</v>
      </c>
      <c r="D72" t="s">
        <v>13</v>
      </c>
      <c r="E72" t="s">
        <v>80</v>
      </c>
      <c r="F72" t="s">
        <v>83</v>
      </c>
      <c r="G72" t="s">
        <v>81</v>
      </c>
      <c r="I72" t="s">
        <v>102</v>
      </c>
      <c r="L72" t="s">
        <v>175</v>
      </c>
      <c r="M72" t="s">
        <v>96</v>
      </c>
      <c r="Q72" t="str">
        <f t="shared" si="9"/>
        <v>Dark Mirage found the seam with first-time blinkers.</v>
      </c>
    </row>
    <row r="73" spans="1:17" x14ac:dyDescent="0.25">
      <c r="A73" s="2" t="s">
        <v>203</v>
      </c>
      <c r="B73" t="s">
        <v>225</v>
      </c>
      <c r="C73">
        <f t="shared" si="8"/>
        <v>9</v>
      </c>
      <c r="D73" t="s">
        <v>13</v>
      </c>
      <c r="E73" t="s">
        <v>210</v>
      </c>
      <c r="F73" t="s">
        <v>81</v>
      </c>
      <c r="G73" t="s">
        <v>86</v>
      </c>
      <c r="L73" t="s">
        <v>175</v>
      </c>
      <c r="M73" t="s">
        <v>96</v>
      </c>
      <c r="Q73" t="str">
        <f t="shared" si="9"/>
        <v>Windchaser had the edge without showing in the turfs.</v>
      </c>
    </row>
    <row r="74" spans="1:17" x14ac:dyDescent="0.25">
      <c r="A74" s="2" t="s">
        <v>204</v>
      </c>
      <c r="B74" t="s">
        <v>226</v>
      </c>
      <c r="C74">
        <f t="shared" si="8"/>
        <v>9</v>
      </c>
      <c r="D74" t="s">
        <v>13</v>
      </c>
      <c r="E74" t="s">
        <v>211</v>
      </c>
      <c r="F74" t="s">
        <v>83</v>
      </c>
      <c r="G74" t="s">
        <v>81</v>
      </c>
      <c r="L74" t="s">
        <v>175</v>
      </c>
      <c r="M74" t="s">
        <v>96</v>
      </c>
      <c r="Q74" t="str">
        <f t="shared" si="9"/>
        <v>Flashfire had a line to the judge being covered.</v>
      </c>
    </row>
    <row r="75" spans="1:17" x14ac:dyDescent="0.25">
      <c r="A75" s="2" t="s">
        <v>205</v>
      </c>
      <c r="B75" t="s">
        <v>218</v>
      </c>
      <c r="C75">
        <f t="shared" si="8"/>
        <v>7</v>
      </c>
      <c r="D75" t="s">
        <v>13</v>
      </c>
      <c r="E75" t="s">
        <v>80</v>
      </c>
      <c r="F75" t="s">
        <v>81</v>
      </c>
      <c r="G75" t="s">
        <v>81</v>
      </c>
      <c r="L75" t="s">
        <v>175</v>
      </c>
      <c r="M75" t="s">
        <v>96</v>
      </c>
      <c r="Q75" t="str">
        <f t="shared" si="9"/>
        <v>Comet Stride had claimer and came widest.</v>
      </c>
    </row>
    <row r="76" spans="1:17" x14ac:dyDescent="0.25">
      <c r="A76" s="2" t="s">
        <v>212</v>
      </c>
      <c r="B76" t="s">
        <v>219</v>
      </c>
      <c r="C76">
        <f t="shared" si="8"/>
        <v>9</v>
      </c>
      <c r="D76" t="s">
        <v>13</v>
      </c>
      <c r="E76" t="s">
        <v>80</v>
      </c>
      <c r="F76" t="s">
        <v>83</v>
      </c>
      <c r="G76" t="s">
        <v>81</v>
      </c>
      <c r="L76" t="s">
        <v>175</v>
      </c>
      <c r="M76" t="s">
        <v>96</v>
      </c>
      <c r="Q76" t="str">
        <f t="shared" si="9"/>
        <v>Bold Pride was from a shrewd yard and cruising.</v>
      </c>
    </row>
    <row r="77" spans="1:17" x14ac:dyDescent="0.25">
      <c r="A77" s="2" t="s">
        <v>213</v>
      </c>
      <c r="B77" t="s">
        <v>227</v>
      </c>
      <c r="C77">
        <f t="shared" si="8"/>
        <v>9</v>
      </c>
      <c r="D77" t="s">
        <v>13</v>
      </c>
      <c r="E77" t="s">
        <v>210</v>
      </c>
      <c r="F77" t="s">
        <v>89</v>
      </c>
      <c r="G77" t="s">
        <v>90</v>
      </c>
      <c r="L77" t="s">
        <v>175</v>
      </c>
      <c r="M77" t="s">
        <v>96</v>
      </c>
      <c r="Q77" t="str">
        <f t="shared" si="9"/>
        <v>Oblique runner switched yards, hitting rising ground on steel.</v>
      </c>
    </row>
    <row r="78" spans="1:17" x14ac:dyDescent="0.25">
      <c r="A78" s="2" t="s">
        <v>206</v>
      </c>
      <c r="B78" t="s">
        <v>220</v>
      </c>
      <c r="C78">
        <f t="shared" si="8"/>
        <v>9</v>
      </c>
      <c r="D78" t="s">
        <v>13</v>
      </c>
      <c r="E78" t="s">
        <v>211</v>
      </c>
      <c r="F78" t="s">
        <v>81</v>
      </c>
      <c r="G78" t="s">
        <v>81</v>
      </c>
      <c r="L78" t="s">
        <v>175</v>
      </c>
      <c r="M78" t="s">
        <v>96</v>
      </c>
      <c r="Q78" t="str">
        <f t="shared" si="9"/>
        <v>Ruby Ash had a stripped fitter for the reappearance.</v>
      </c>
    </row>
    <row r="79" spans="1:17" x14ac:dyDescent="0.25">
      <c r="A79" s="2" t="s">
        <v>207</v>
      </c>
      <c r="B79" t="s">
        <v>221</v>
      </c>
      <c r="C79">
        <f t="shared" si="8"/>
        <v>6</v>
      </c>
      <c r="D79" t="s">
        <v>13</v>
      </c>
      <c r="E79" t="s">
        <v>214</v>
      </c>
      <c r="F79" t="s">
        <v>83</v>
      </c>
      <c r="G79" t="s">
        <v>81</v>
      </c>
      <c r="I79" t="s">
        <v>102</v>
      </c>
      <c r="L79" t="s">
        <v>175</v>
      </c>
      <c r="M79" t="s">
        <v>96</v>
      </c>
      <c r="Q79" t="str">
        <f t="shared" si="9"/>
        <v>Diamond Hood found under minimal cajoling.</v>
      </c>
    </row>
    <row r="80" spans="1:17" x14ac:dyDescent="0.25">
      <c r="A80" s="2" t="s">
        <v>208</v>
      </c>
      <c r="B80" t="s">
        <v>222</v>
      </c>
      <c r="C80">
        <f t="shared" si="8"/>
        <v>8</v>
      </c>
      <c r="D80" t="s">
        <v>13</v>
      </c>
      <c r="E80" t="s">
        <v>80</v>
      </c>
      <c r="F80" t="s">
        <v>84</v>
      </c>
      <c r="G80" t="s">
        <v>81</v>
      </c>
      <c r="I80" t="s">
        <v>102</v>
      </c>
      <c r="L80" t="s">
        <v>175</v>
      </c>
      <c r="M80" t="s">
        <v>96</v>
      </c>
      <c r="Q80" t="str">
        <f t="shared" si="9"/>
        <v>Silent Eclipse travelled into the dip, digging deep.</v>
      </c>
    </row>
    <row r="81" spans="1:17" x14ac:dyDescent="0.25">
      <c r="A81" s="2" t="s">
        <v>209</v>
      </c>
      <c r="B81" t="s">
        <v>223</v>
      </c>
      <c r="C81">
        <f t="shared" si="8"/>
        <v>9</v>
      </c>
      <c r="D81" t="s">
        <v>13</v>
      </c>
      <c r="E81" t="s">
        <v>80</v>
      </c>
      <c r="F81" t="s">
        <v>84</v>
      </c>
      <c r="G81" t="s">
        <v>84</v>
      </c>
      <c r="I81" t="s">
        <v>102</v>
      </c>
      <c r="L81" t="s">
        <v>175</v>
      </c>
      <c r="M81" t="s">
        <v>96</v>
      </c>
      <c r="Q81" t="str">
        <f t="shared" si="9"/>
        <v>Wave Rider broke hearts late after dropping in class.</v>
      </c>
    </row>
    <row r="82" spans="1:17" x14ac:dyDescent="0.25">
      <c r="A82" s="2" t="s">
        <v>215</v>
      </c>
      <c r="B82" t="s">
        <v>224</v>
      </c>
      <c r="C82">
        <f t="shared" si="8"/>
        <v>9</v>
      </c>
      <c r="D82" t="s">
        <v>13</v>
      </c>
      <c r="E82" t="s">
        <v>80</v>
      </c>
      <c r="F82" t="s">
        <v>84</v>
      </c>
      <c r="G82" t="s">
        <v>86</v>
      </c>
      <c r="L82" t="s">
        <v>175</v>
      </c>
      <c r="M82" t="s">
        <v>96</v>
      </c>
      <c r="Q82" t="str">
        <f t="shared" si="9"/>
        <v>Steady Fighter had afterburners, scrambling home the last furlong.</v>
      </c>
    </row>
    <row r="83" spans="1:17" x14ac:dyDescent="0.25">
      <c r="A83" s="2"/>
    </row>
  </sheetData>
  <autoFilter ref="L1:N82" xr:uid="{42432F2B-CB34-44D6-9D20-F3E82F700832}">
    <filterColumn colId="0">
      <filters>
        <filter val="Stay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A8CF-E8AA-46BC-A63E-29C82BF00C59}">
  <dimension ref="A1:G65"/>
  <sheetViews>
    <sheetView tabSelected="1" workbookViewId="0">
      <selection activeCell="A35" sqref="A35"/>
    </sheetView>
  </sheetViews>
  <sheetFormatPr defaultRowHeight="15" x14ac:dyDescent="0.25"/>
  <cols>
    <col min="1" max="1" width="67.7109375" bestFit="1" customWidth="1"/>
    <col min="2" max="2" width="17.5703125" bestFit="1" customWidth="1"/>
    <col min="4" max="4" width="10.28515625" bestFit="1" customWidth="1"/>
  </cols>
  <sheetData>
    <row r="1" spans="1:7" x14ac:dyDescent="0.25">
      <c r="A1" t="s">
        <v>232</v>
      </c>
      <c r="B1" t="s">
        <v>1</v>
      </c>
      <c r="C1" t="s">
        <v>2</v>
      </c>
      <c r="D1" t="s">
        <v>3</v>
      </c>
      <c r="G1" t="s">
        <v>228</v>
      </c>
    </row>
    <row r="2" spans="1:7" x14ac:dyDescent="0.25">
      <c r="A2" t="s">
        <v>216</v>
      </c>
      <c r="B2" t="s">
        <v>4</v>
      </c>
      <c r="C2">
        <v>11</v>
      </c>
      <c r="D2" t="s">
        <v>12</v>
      </c>
      <c r="G2" t="str">
        <f>CONCATENATE("{'", $A$1, "' : '",A2, "', '", $B$1, "' : '",B2, "', '",$C$1, "' : '",C2, "', '",$D$1, "' : '",D2, "'},")</f>
        <v>{'horse_description' : 'Silversky kicked off in his handicap career in the last race.', 'horse_name' : 'Silversky', 'length' : '11', 'origin' : 'Attheraces'},</v>
      </c>
    </row>
    <row r="3" spans="1:7" x14ac:dyDescent="0.25">
      <c r="A3" t="s">
        <v>180</v>
      </c>
      <c r="B3" t="s">
        <v>6</v>
      </c>
      <c r="C3">
        <v>12</v>
      </c>
      <c r="D3" t="s">
        <v>12</v>
      </c>
      <c r="G3" t="str">
        <f t="shared" ref="G3:G65" si="0">CONCATENATE("{'", $A$1, "' : '",A3, "', '", $B$1, "' : '",B3, "', '",$C$1, "' : '",C3, "', '",$D$1, "' : '",D3, "'},")</f>
        <v>{'horse_description' : 'Karenin was featured placed and took it to the wire.', 'horse_name' : 'Karerin', 'length' : '12', 'origin' : 'Attheraces'},</v>
      </c>
    </row>
    <row r="4" spans="1:7" x14ac:dyDescent="0.25">
      <c r="A4" t="s">
        <v>181</v>
      </c>
      <c r="B4" t="s">
        <v>109</v>
      </c>
      <c r="C4">
        <v>13</v>
      </c>
      <c r="D4" t="s">
        <v>12</v>
      </c>
      <c r="G4" t="str">
        <f t="shared" si="0"/>
        <v>{'horse_description' : 'Stockman led them a merry dance after being pipped.', 'horse_name' : 'Stockmann', 'length' : '13', 'origin' : 'Attheraces'},</v>
      </c>
    </row>
    <row r="5" spans="1:7" x14ac:dyDescent="0.25">
      <c r="A5" t="s">
        <v>229</v>
      </c>
      <c r="B5" t="s">
        <v>116</v>
      </c>
      <c r="C5">
        <v>9</v>
      </c>
      <c r="D5" t="s">
        <v>16</v>
      </c>
      <c r="G5" t="str">
        <f t="shared" si="0"/>
        <v>{'horse_description' : 'Blue Horizon race without the cheekpieces.', 'horse_name' : 'Blue Horizon', 'length' : '9', 'origin' : 'Gemini'},</v>
      </c>
    </row>
    <row r="6" spans="1:7" x14ac:dyDescent="0.25">
      <c r="A6" t="s">
        <v>183</v>
      </c>
      <c r="B6" t="s">
        <v>111</v>
      </c>
      <c r="C6">
        <v>10</v>
      </c>
      <c r="D6" t="s">
        <v>12</v>
      </c>
      <c r="G6" t="str">
        <f t="shared" si="0"/>
        <v>{'horse_description' : 'Vanya reverted to the flat and the sand boded well.', 'horse_name' : 'Vanya', 'length' : '10', 'origin' : 'Attheraces'},</v>
      </c>
    </row>
    <row r="7" spans="1:7" x14ac:dyDescent="0.25">
      <c r="A7" t="s">
        <v>230</v>
      </c>
      <c r="B7" t="s">
        <v>112</v>
      </c>
      <c r="C7">
        <v>12</v>
      </c>
      <c r="D7" t="s">
        <v>12</v>
      </c>
      <c r="G7" t="str">
        <f t="shared" si="0"/>
        <v>{'horse_description' : 'Vladimir was narrowly beaten in a fair maiden on the turf course.', 'horse_name' : 'Vladimir', 'length' : '12', 'origin' : 'Attheraces'},</v>
      </c>
    </row>
    <row r="8" spans="1:7" x14ac:dyDescent="0.25">
      <c r="A8" t="s">
        <v>184</v>
      </c>
      <c r="B8" t="s">
        <v>113</v>
      </c>
      <c r="C8">
        <v>11</v>
      </c>
      <c r="D8" t="s">
        <v>12</v>
      </c>
      <c r="G8" t="str">
        <f t="shared" si="0"/>
        <v>{'horse_description' : 'Estragon was left-handed and secured a hat-trick.', 'horse_name' : 'Estragon', 'length' : '11', 'origin' : 'Attheraces'},</v>
      </c>
    </row>
    <row r="9" spans="1:7" x14ac:dyDescent="0.25">
      <c r="A9" t="s">
        <v>201</v>
      </c>
      <c r="B9" t="s">
        <v>114</v>
      </c>
      <c r="C9">
        <v>12</v>
      </c>
      <c r="D9" t="s">
        <v>12</v>
      </c>
      <c r="G9" t="str">
        <f t="shared" si="0"/>
        <v>{'horse_description' : 'Lovelace was first-time hooded and worked the oracle.', 'horse_name' : 'Lovelace', 'length' : '12', 'origin' : 'Attheraces'},</v>
      </c>
    </row>
    <row r="10" spans="1:7" x14ac:dyDescent="0.25">
      <c r="A10" t="s">
        <v>24</v>
      </c>
      <c r="B10" t="s">
        <v>117</v>
      </c>
      <c r="C10">
        <v>13</v>
      </c>
      <c r="D10" t="s">
        <v>12</v>
      </c>
      <c r="G10" t="str">
        <f t="shared" si="0"/>
        <v>{'horse_description' : 'Port Louis is a Michael Madgwick-trained and ran a stormer at Doncaster .', 'horse_name' : 'Port Louis', 'length' : '13', 'origin' : 'Attheraces'},</v>
      </c>
    </row>
    <row r="11" spans="1:7" x14ac:dyDescent="0.25">
      <c r="A11" t="s">
        <v>120</v>
      </c>
      <c r="B11" t="s">
        <v>119</v>
      </c>
      <c r="C11">
        <v>10</v>
      </c>
      <c r="D11" t="s">
        <v>13</v>
      </c>
      <c r="G11" t="str">
        <f t="shared" si="0"/>
        <v>{'horse_description' : 'Celestial Queen answered every call in a field of fillies.', 'horse_name' : 'Celestial Queen', 'length' : '10', 'origin' : 'Created'},</v>
      </c>
    </row>
    <row r="12" spans="1:7" x14ac:dyDescent="0.25">
      <c r="A12" t="s">
        <v>231</v>
      </c>
      <c r="B12" t="s">
        <v>121</v>
      </c>
      <c r="C12">
        <v>9</v>
      </c>
      <c r="D12" t="s">
        <v>13</v>
      </c>
      <c r="G12" t="str">
        <f t="shared" si="0"/>
        <v>{'horse_description' : 'Gilded Lily charged to the line on the gallops.', 'horse_name' : 'Gilded Lily', 'length' : '9', 'origin' : 'Created'},</v>
      </c>
    </row>
    <row r="13" spans="1:7" x14ac:dyDescent="0.25">
      <c r="A13" t="s">
        <v>28</v>
      </c>
      <c r="B13" t="s">
        <v>123</v>
      </c>
      <c r="C13">
        <v>9</v>
      </c>
      <c r="D13" t="s">
        <v>13</v>
      </c>
      <c r="G13" t="str">
        <f t="shared" si="0"/>
        <v>{'horse_description' : 'Emerald was a picture in running at 7 furlongs.', 'horse_name' : 'Emerald was', 'length' : '9', 'origin' : 'Created'},</v>
      </c>
    </row>
    <row r="14" spans="1:7" x14ac:dyDescent="0.25">
      <c r="A14" t="s">
        <v>29</v>
      </c>
      <c r="B14" t="s">
        <v>124</v>
      </c>
      <c r="C14">
        <v>12</v>
      </c>
      <c r="D14" t="s">
        <v>13</v>
      </c>
      <c r="G14" t="str">
        <f t="shared" si="0"/>
        <v>{'horse_description' : 'Leeloo was on a string despite being collared in the closing stages.', 'horse_name' : 'Leeloo was', 'length' : '12', 'origin' : 'Created'},</v>
      </c>
    </row>
    <row r="15" spans="1:7" x14ac:dyDescent="0.25">
      <c r="A15" t="s">
        <v>30</v>
      </c>
      <c r="B15" t="s">
        <v>125</v>
      </c>
      <c r="C15">
        <v>9</v>
      </c>
      <c r="D15" t="s">
        <v>13</v>
      </c>
      <c r="G15" t="str">
        <f t="shared" si="0"/>
        <v>{'horse_description' : 'Worthing flowed in the turf course running in blinkers.', 'horse_name' : 'Worthing flowed', 'length' : '9', 'origin' : 'Created'},</v>
      </c>
    </row>
    <row r="16" spans="1:7" x14ac:dyDescent="0.25">
      <c r="A16" t="s">
        <v>186</v>
      </c>
      <c r="B16" t="s">
        <v>127</v>
      </c>
      <c r="C16">
        <v>11</v>
      </c>
      <c r="D16" t="s">
        <v>13</v>
      </c>
      <c r="G16" t="str">
        <f t="shared" si="0"/>
        <v>{'horse_description' : 'Urban Legend was in the mix with a generous weight.', 'horse_name' : 'Urban Legend', 'length' : '11', 'origin' : 'Created'},</v>
      </c>
    </row>
    <row r="17" spans="1:7" x14ac:dyDescent="0.25">
      <c r="A17" t="s">
        <v>33</v>
      </c>
      <c r="B17" t="s">
        <v>128</v>
      </c>
      <c r="C17">
        <v>8</v>
      </c>
      <c r="D17" t="s">
        <v>13</v>
      </c>
      <c r="G17" t="str">
        <f t="shared" si="0"/>
        <v>{'horse_description' : 'Nightfall proved over the trip after running green.', 'horse_name' : 'Nightfall proved', 'length' : '8', 'origin' : 'Created'},</v>
      </c>
    </row>
    <row r="18" spans="1:7" x14ac:dyDescent="0.25">
      <c r="A18" t="s">
        <v>34</v>
      </c>
      <c r="B18" t="s">
        <v>129</v>
      </c>
      <c r="C18">
        <v>12</v>
      </c>
      <c r="D18" t="s">
        <v>13</v>
      </c>
      <c r="G18" t="str">
        <f t="shared" si="0"/>
        <v>{'horse_description' : 'Velvet Thunder help up in rear, the drop in trip should suit.', 'horse_name' : 'Velvet Thunder', 'length' : '12', 'origin' : 'Created'},</v>
      </c>
    </row>
    <row r="19" spans="1:7" x14ac:dyDescent="0.25">
      <c r="A19" t="s">
        <v>39</v>
      </c>
      <c r="B19" t="s">
        <v>135</v>
      </c>
      <c r="C19">
        <v>9</v>
      </c>
      <c r="D19" t="s">
        <v>13</v>
      </c>
      <c r="G19" t="str">
        <f t="shared" si="0"/>
        <v>{'horse_description' : 'Summer breeze ran with credit with a tongue-tie fitted.', 'horse_name' : 'Summer breeze', 'length' : '9', 'origin' : 'Created'},</v>
      </c>
    </row>
    <row r="20" spans="1:7" x14ac:dyDescent="0.25">
      <c r="A20" t="s">
        <v>192</v>
      </c>
      <c r="B20" t="s">
        <v>136</v>
      </c>
      <c r="C20">
        <v>8</v>
      </c>
      <c r="D20" t="s">
        <v>13</v>
      </c>
      <c r="G20" t="str">
        <f t="shared" si="0"/>
        <v>{'horse_description' : 'Royal Rebel was visored for the first time.', 'horse_name' : 'Royal Rebel', 'length' : '8', 'origin' : 'Created'},</v>
      </c>
    </row>
    <row r="21" spans="1:7" x14ac:dyDescent="0.25">
      <c r="A21" t="s">
        <v>41</v>
      </c>
      <c r="B21" t="s">
        <v>137</v>
      </c>
      <c r="C21">
        <v>6</v>
      </c>
      <c r="D21" t="s">
        <v>13</v>
      </c>
      <c r="G21" t="str">
        <f t="shared" si="0"/>
        <v>{'horse_description' : 'Air Ace, gelded recently, made headway.', 'horse_name' : 'Air Ace', 'length' : '6', 'origin' : 'Created'},</v>
      </c>
    </row>
    <row r="22" spans="1:7" x14ac:dyDescent="0.25">
      <c r="A22" t="s">
        <v>193</v>
      </c>
      <c r="B22" t="s">
        <v>138</v>
      </c>
      <c r="C22">
        <v>11</v>
      </c>
      <c r="D22" t="s">
        <v>13</v>
      </c>
      <c r="G22" t="str">
        <f t="shared" si="0"/>
        <v>{'horse_description' : 'Star Dust is a fettle that showed plenty on the gallops.', 'horse_name' : 'Star dust', 'length' : '11', 'origin' : 'Created'},</v>
      </c>
    </row>
    <row r="23" spans="1:7" x14ac:dyDescent="0.25">
      <c r="A23" t="s">
        <v>44</v>
      </c>
      <c r="B23" t="s">
        <v>139</v>
      </c>
      <c r="C23">
        <v>8</v>
      </c>
      <c r="D23" t="s">
        <v>13</v>
      </c>
      <c r="G23" t="str">
        <f t="shared" si="0"/>
        <v>{'horse_description' : 'Red Meridian caught the eye at the flats.', 'horse_name' : 'Red Meridian', 'length' : '8', 'origin' : 'Created'},</v>
      </c>
    </row>
    <row r="24" spans="1:7" x14ac:dyDescent="0.25">
      <c r="A24" t="s">
        <v>45</v>
      </c>
      <c r="B24" t="s">
        <v>140</v>
      </c>
      <c r="C24">
        <v>8</v>
      </c>
      <c r="D24" t="s">
        <v>13</v>
      </c>
      <c r="G24" t="str">
        <f t="shared" si="0"/>
        <v>{'horse_description' : 'Copper Legacy hung left in the turf course.', 'horse_name' : 'Copper Legacy', 'length' : '8', 'origin' : 'Created'},</v>
      </c>
    </row>
    <row r="25" spans="1:7" x14ac:dyDescent="0.25">
      <c r="A25" t="s">
        <v>194</v>
      </c>
      <c r="B25" t="s">
        <v>141</v>
      </c>
      <c r="C25">
        <v>6</v>
      </c>
      <c r="D25" t="s">
        <v>13</v>
      </c>
      <c r="G25" t="str">
        <f t="shared" si="0"/>
        <v>{'horse_description' : 'Crystal Frontier settled well in midfield.', 'horse_name' : 'Crystal Frontier', 'length' : '6', 'origin' : 'Created'},</v>
      </c>
    </row>
    <row r="26" spans="1:7" x14ac:dyDescent="0.25">
      <c r="A26" t="s">
        <v>195</v>
      </c>
      <c r="B26" t="s">
        <v>143</v>
      </c>
      <c r="C26">
        <v>9</v>
      </c>
      <c r="D26" t="s">
        <v>13</v>
      </c>
      <c r="G26" t="str">
        <f t="shared" si="0"/>
        <v>{'horse_description' : 'Desert Flower ran in snatches, still on the bridle.', 'horse_name' : 'Desert Flower', 'length' : '9', 'origin' : 'Created'},</v>
      </c>
    </row>
    <row r="27" spans="1:7" x14ac:dyDescent="0.25">
      <c r="A27" t="s">
        <v>49</v>
      </c>
      <c r="B27" t="s">
        <v>144</v>
      </c>
      <c r="C27">
        <v>9</v>
      </c>
      <c r="D27" t="s">
        <v>13</v>
      </c>
      <c r="G27" t="str">
        <f t="shared" si="0"/>
        <v>{'horse_description' : 'Indigo Marc found another leg in the last furlong.', 'horse_name' : 'Indigo Marc', 'length' : '9', 'origin' : 'Created'},</v>
      </c>
    </row>
    <row r="28" spans="1:7" x14ac:dyDescent="0.25">
      <c r="A28" t="s">
        <v>50</v>
      </c>
      <c r="B28" t="s">
        <v>145</v>
      </c>
      <c r="C28">
        <v>11</v>
      </c>
      <c r="D28" t="s">
        <v>13</v>
      </c>
      <c r="G28" t="str">
        <f t="shared" si="0"/>
        <v>{'horse_description' : 'Green Dusk had a shade snug in the sands last time.', 'horse_name' : 'Green Dusk', 'length' : '11', 'origin' : 'Created'},</v>
      </c>
    </row>
    <row r="29" spans="1:7" x14ac:dyDescent="0.25">
      <c r="A29" t="s">
        <v>196</v>
      </c>
      <c r="B29" t="s">
        <v>146</v>
      </c>
      <c r="C29">
        <v>9</v>
      </c>
      <c r="D29" t="s">
        <v>13</v>
      </c>
      <c r="G29" t="str">
        <f t="shared" si="0"/>
        <v>{'horse_description' : 'Bramble Hallo was known for sitting handy and traveling.', 'horse_name' : 'Bramble Halo', 'length' : '9', 'origin' : 'Created'},</v>
      </c>
    </row>
    <row r="30" spans="1:7" x14ac:dyDescent="0.25">
      <c r="A30" t="s">
        <v>52</v>
      </c>
      <c r="B30" t="s">
        <v>147</v>
      </c>
      <c r="C30">
        <v>7</v>
      </c>
      <c r="D30" t="s">
        <v>13</v>
      </c>
      <c r="G30" t="str">
        <f t="shared" si="0"/>
        <v>{'horse_description' : 'Pale Corsair found plenty off the bridle.', 'horse_name' : 'Pale Corsair', 'length' : '7', 'origin' : 'Created'},</v>
      </c>
    </row>
    <row r="31" spans="1:7" x14ac:dyDescent="0.25">
      <c r="A31" t="s">
        <v>197</v>
      </c>
      <c r="B31" t="s">
        <v>148</v>
      </c>
      <c r="C31">
        <v>7</v>
      </c>
      <c r="D31" t="s">
        <v>13</v>
      </c>
      <c r="G31" t="str">
        <f t="shared" si="0"/>
        <v>{'horse_description' : 'Onyx Rune answered every question readily.', 'horse_name' : 'Onyx Rune', 'length' : '7', 'origin' : 'Created'},</v>
      </c>
    </row>
    <row r="32" spans="1:7" x14ac:dyDescent="0.25">
      <c r="A32" t="s">
        <v>54</v>
      </c>
      <c r="B32" t="s">
        <v>149</v>
      </c>
      <c r="C32">
        <v>12</v>
      </c>
      <c r="D32" t="s">
        <v>13</v>
      </c>
      <c r="G32" t="str">
        <f t="shared" si="0"/>
        <v>{'horse_description' : 'Moss Relic was always in the box seat under a cool ride.', 'horse_name' : 'Moss Relic', 'length' : '12', 'origin' : 'Created'},</v>
      </c>
    </row>
    <row r="33" spans="1:7" x14ac:dyDescent="0.25">
      <c r="A33" t="s">
        <v>55</v>
      </c>
      <c r="B33" t="s">
        <v>150</v>
      </c>
      <c r="C33">
        <v>8</v>
      </c>
      <c r="D33" t="s">
        <v>13</v>
      </c>
      <c r="G33" t="str">
        <f t="shared" si="0"/>
        <v>{'horse_description' : 'Echo Fury always holds under a tender ride.', 'horse_name' : 'Echo Fury', 'length' : '8', 'origin' : 'Created'},</v>
      </c>
    </row>
    <row r="34" spans="1:7" x14ac:dyDescent="0.25">
      <c r="A34" t="s">
        <v>56</v>
      </c>
      <c r="B34" t="s">
        <v>151</v>
      </c>
      <c r="C34">
        <v>8</v>
      </c>
      <c r="D34" t="s">
        <v>13</v>
      </c>
      <c r="G34" t="str">
        <f t="shared" si="0"/>
        <v>{'horse_description' : 'Black Ember had matters in safekeeping turning in.', 'horse_name' : 'Black Ember', 'length' : '8', 'origin' : 'Created'},</v>
      </c>
    </row>
    <row r="35" spans="1:7" x14ac:dyDescent="0.25">
      <c r="A35" t="s">
        <v>57</v>
      </c>
      <c r="B35" t="s">
        <v>152</v>
      </c>
      <c r="C35">
        <v>12</v>
      </c>
      <c r="D35" t="s">
        <v>13</v>
      </c>
      <c r="G35" t="str">
        <f t="shared" si="0"/>
        <v>{'horse_description' : 'Solar Flash had a bit to spare off in a quiet sit.', 'horse_name' : 'Solar Flash', 'length' : '12', 'origin' : 'Created'},</v>
      </c>
    </row>
    <row r="36" spans="1:7" x14ac:dyDescent="0.25">
      <c r="A36" t="s">
        <v>58</v>
      </c>
      <c r="B36" t="s">
        <v>153</v>
      </c>
      <c r="C36">
        <v>9</v>
      </c>
      <c r="D36" t="s">
        <v>13</v>
      </c>
      <c r="G36" t="str">
        <f t="shared" si="0"/>
        <v>{'horse_description' : 'Swift Valor went through the bridle approaching the pole.', 'horse_name' : 'Swift Valor', 'length' : '9', 'origin' : 'Created'},</v>
      </c>
    </row>
    <row r="37" spans="1:7" x14ac:dyDescent="0.25">
      <c r="A37" t="s">
        <v>59</v>
      </c>
      <c r="B37" t="s">
        <v>154</v>
      </c>
      <c r="C37">
        <v>9</v>
      </c>
      <c r="D37" t="s">
        <v>13</v>
      </c>
      <c r="G37" t="str">
        <f t="shared" si="0"/>
        <v>{'horse_description' : 'Blue Blaze hit the rising ground on the steel.', 'horse_name' : 'Blue Blaze', 'length' : '9', 'origin' : 'Created'},</v>
      </c>
    </row>
    <row r="38" spans="1:7" x14ac:dyDescent="0.25">
      <c r="A38" t="s">
        <v>60</v>
      </c>
      <c r="B38" t="s">
        <v>155</v>
      </c>
      <c r="C38">
        <v>9</v>
      </c>
      <c r="D38" t="s">
        <v>13</v>
      </c>
      <c r="G38" t="str">
        <f t="shared" si="0"/>
        <v>{'horse_description' : 'Brave Horizon had them stretched before the furlong pole.', 'horse_name' : 'Brave Horizon', 'length' : '9', 'origin' : 'Created'},</v>
      </c>
    </row>
    <row r="39" spans="1:7" x14ac:dyDescent="0.25">
      <c r="A39" t="s">
        <v>61</v>
      </c>
      <c r="B39" t="s">
        <v>156</v>
      </c>
      <c r="C39">
        <v>9</v>
      </c>
      <c r="D39" t="s">
        <v>13</v>
      </c>
      <c r="G39" t="str">
        <f t="shared" si="0"/>
        <v>{'horse_description' : 'Neon Charger was let in linghtly on prior evidence.', 'horse_name' : 'Neon Charger', 'length' : '9', 'origin' : 'Created'},</v>
      </c>
    </row>
    <row r="40" spans="1:7" x14ac:dyDescent="0.25">
      <c r="A40" t="s">
        <v>62</v>
      </c>
      <c r="B40" t="s">
        <v>157</v>
      </c>
      <c r="C40">
        <v>10</v>
      </c>
      <c r="D40" t="s">
        <v>13</v>
      </c>
      <c r="G40" t="str">
        <f t="shared" si="0"/>
        <v>{'horse_description' : 'Skybreaker has undergone a wind operation and so travelled cleaner.', 'horse_name' : 'Skybreaker has', 'length' : '10', 'origin' : 'Created'},</v>
      </c>
    </row>
    <row r="41" spans="1:7" x14ac:dyDescent="0.25">
      <c r="A41" t="s">
        <v>198</v>
      </c>
      <c r="B41" t="s">
        <v>158</v>
      </c>
      <c r="C41">
        <v>12</v>
      </c>
      <c r="D41" t="s">
        <v>13</v>
      </c>
      <c r="G41" t="str">
        <f t="shared" si="0"/>
        <v>{'horse_description' : 'Scarlet Racer was a yard in form and picked up once angled.', 'horse_name' : 'Scarlet Racer', 'length' : '12', 'origin' : 'Created'},</v>
      </c>
    </row>
    <row r="42" spans="1:7" x14ac:dyDescent="0.25">
      <c r="A42" t="s">
        <v>64</v>
      </c>
      <c r="B42" t="s">
        <v>159</v>
      </c>
      <c r="C42">
        <v>13</v>
      </c>
      <c r="D42" t="s">
        <v>13</v>
      </c>
      <c r="G42" t="str">
        <f t="shared" si="0"/>
        <v>{'horse_description' : 'Flint Sonata, wind op, had been suited by the cut in the ground.', 'horse_name' : 'Flint Sonata', 'length' : '13', 'origin' : 'Created'},</v>
      </c>
    </row>
    <row r="43" spans="1:7" x14ac:dyDescent="0.25">
      <c r="A43" t="s">
        <v>66</v>
      </c>
      <c r="B43" t="s">
        <v>161</v>
      </c>
      <c r="C43">
        <v>11</v>
      </c>
      <c r="D43" t="s">
        <v>13</v>
      </c>
      <c r="G43" t="str">
        <f t="shared" si="0"/>
        <v>{'horse_description' : 'Gallant Storm was out of a stager and sat box seat.', 'horse_name' : 'Gallant Storm', 'length' : '11', 'origin' : 'Created'},</v>
      </c>
    </row>
    <row r="44" spans="1:7" x14ac:dyDescent="0.25">
      <c r="A44" t="s">
        <v>67</v>
      </c>
      <c r="B44" t="s">
        <v>162</v>
      </c>
      <c r="C44">
        <v>9</v>
      </c>
      <c r="D44" t="s">
        <v>13</v>
      </c>
      <c r="G44" t="str">
        <f t="shared" si="0"/>
        <v>{'horse_description' : 'Crimson Eclipse was from in-from yard and always covered.', 'horse_name' : 'Crimson Eclipse', 'length' : '9', 'origin' : 'Created'},</v>
      </c>
    </row>
    <row r="45" spans="1:7" x14ac:dyDescent="0.25">
      <c r="A45" t="s">
        <v>68</v>
      </c>
      <c r="B45" t="s">
        <v>163</v>
      </c>
      <c r="C45">
        <v>9</v>
      </c>
      <c r="D45" t="s">
        <v>13</v>
      </c>
      <c r="G45" t="str">
        <f t="shared" si="0"/>
        <v>{'horse_description' : 'Lunar Charger was bred for trip and came cruising.', 'horse_name' : 'Lunar Charger', 'length' : '9', 'origin' : 'Created'},</v>
      </c>
    </row>
    <row r="46" spans="1:7" x14ac:dyDescent="0.25">
      <c r="A46" t="s">
        <v>69</v>
      </c>
      <c r="B46" t="s">
        <v>164</v>
      </c>
      <c r="C46">
        <v>9</v>
      </c>
      <c r="D46" t="s">
        <v>13</v>
      </c>
      <c r="G46" t="str">
        <f t="shared" si="0"/>
        <v>{'horse_description' : 'Saffron Crest was bred stout and asserted without stick.', 'horse_name' : 'Saffron Crest', 'length' : '9', 'origin' : 'Created'},</v>
      </c>
    </row>
    <row r="47" spans="1:7" x14ac:dyDescent="0.25">
      <c r="A47" t="s">
        <v>70</v>
      </c>
      <c r="B47" t="s">
        <v>165</v>
      </c>
      <c r="C47">
        <v>12</v>
      </c>
      <c r="D47" t="s">
        <v>13</v>
      </c>
      <c r="G47" t="str">
        <f t="shared" si="0"/>
        <v>{'horse_description' : 'Nimbus Crest is a sharp sire who settled and saw it out.', 'horse_name' : 'Nimbus Crest', 'length' : '12', 'origin' : 'Created'},</v>
      </c>
    </row>
    <row r="48" spans="1:7" x14ac:dyDescent="0.25">
      <c r="A48" t="s">
        <v>71</v>
      </c>
      <c r="B48" t="s">
        <v>166</v>
      </c>
      <c r="C48">
        <v>6</v>
      </c>
      <c r="D48" t="s">
        <v>13</v>
      </c>
      <c r="G48" t="str">
        <f t="shared" si="0"/>
        <v>{'horse_description' : 'Ticker Pike had it written beforehand.', 'horse_name' : 'Ticker Pike', 'length' : '6', 'origin' : 'Created'},</v>
      </c>
    </row>
    <row r="49" spans="1:7" x14ac:dyDescent="0.25">
      <c r="A49" t="s">
        <v>200</v>
      </c>
      <c r="B49" t="s">
        <v>167</v>
      </c>
      <c r="C49">
        <v>10</v>
      </c>
      <c r="D49" t="s">
        <v>13</v>
      </c>
      <c r="G49" t="str">
        <f t="shared" si="0"/>
        <v>{'horse_description' : 'Auric Vale took the measure twice in first-time hood.', 'horse_name' : 'Auric Vale', 'length' : '10', 'origin' : 'Created'},</v>
      </c>
    </row>
    <row r="50" spans="1:7" x14ac:dyDescent="0.25">
      <c r="A50" t="s">
        <v>73</v>
      </c>
      <c r="B50" t="s">
        <v>168</v>
      </c>
      <c r="C50">
        <v>7</v>
      </c>
      <c r="D50" t="s">
        <v>13</v>
      </c>
      <c r="G50" t="str">
        <f t="shared" si="0"/>
        <v>{'horse_description' : 'Golden Tempest did mind the business end.', 'horse_name' : 'Golden Tempest', 'length' : '7', 'origin' : 'Created'},</v>
      </c>
    </row>
    <row r="51" spans="1:7" x14ac:dyDescent="0.25">
      <c r="A51" t="s">
        <v>100</v>
      </c>
      <c r="B51" t="s">
        <v>169</v>
      </c>
      <c r="C51">
        <v>10</v>
      </c>
      <c r="D51" t="s">
        <v>13</v>
      </c>
      <c r="G51" t="str">
        <f t="shared" si="0"/>
        <v>{'horse_description' : 'Silver Phantom heard the clock tick in the last furlong.', 'horse_name' : 'Silver Phantom', 'length' : '10', 'origin' : 'Created'},</v>
      </c>
    </row>
    <row r="52" spans="1:7" x14ac:dyDescent="0.25">
      <c r="A52" t="s">
        <v>74</v>
      </c>
      <c r="B52" t="s">
        <v>170</v>
      </c>
      <c r="C52">
        <v>10</v>
      </c>
      <c r="D52" t="s">
        <v>13</v>
      </c>
      <c r="G52" t="str">
        <f t="shared" si="0"/>
        <v>{'horse_description' : 'Lightning Monarch settled his own sums in the turf course.', 'horse_name' : 'Lightning Monarch', 'length' : '10', 'origin' : 'Created'},</v>
      </c>
    </row>
    <row r="53" spans="1:7" x14ac:dyDescent="0.25">
      <c r="A53" t="s">
        <v>75</v>
      </c>
      <c r="B53" t="s">
        <v>171</v>
      </c>
      <c r="C53">
        <v>6</v>
      </c>
      <c r="D53" t="s">
        <v>13</v>
      </c>
      <c r="G53" t="str">
        <f t="shared" si="0"/>
        <v>{'horse_description' : 'Midnight Inferno nursed it through gears.', 'horse_name' : 'Midnight Inferno', 'length' : '6', 'origin' : 'Created'},</v>
      </c>
    </row>
    <row r="54" spans="1:7" x14ac:dyDescent="0.25">
      <c r="A54" t="s">
        <v>76</v>
      </c>
      <c r="B54" t="s">
        <v>172</v>
      </c>
      <c r="C54">
        <v>10</v>
      </c>
      <c r="D54" t="s">
        <v>13</v>
      </c>
      <c r="G54" t="str">
        <f t="shared" si="0"/>
        <v>{'horse_description' : 'Electric Stride was by miller and came widest, always holding.', 'horse_name' : 'Electric Stride', 'length' : '10', 'origin' : 'Created'},</v>
      </c>
    </row>
    <row r="55" spans="1:7" x14ac:dyDescent="0.25">
      <c r="A55" t="s">
        <v>202</v>
      </c>
      <c r="B55" t="s">
        <v>217</v>
      </c>
      <c r="C55">
        <v>8</v>
      </c>
      <c r="D55" t="s">
        <v>13</v>
      </c>
      <c r="G55" t="str">
        <f t="shared" si="0"/>
        <v>{'horse_description' : 'Dark Mirage found the seam with first-time blinkers.', 'horse_name' : 'Dark Mirage', 'length' : '8', 'origin' : 'Created'},</v>
      </c>
    </row>
    <row r="56" spans="1:7" x14ac:dyDescent="0.25">
      <c r="A56" t="s">
        <v>203</v>
      </c>
      <c r="B56" t="s">
        <v>225</v>
      </c>
      <c r="C56">
        <v>9</v>
      </c>
      <c r="D56" t="s">
        <v>13</v>
      </c>
      <c r="G56" t="str">
        <f t="shared" si="0"/>
        <v>{'horse_description' : 'Windchaser had the edge without showing in the turfs.', 'horse_name' : 'Windchaser ', 'length' : '9', 'origin' : 'Created'},</v>
      </c>
    </row>
    <row r="57" spans="1:7" x14ac:dyDescent="0.25">
      <c r="A57" t="s">
        <v>204</v>
      </c>
      <c r="B57" t="s">
        <v>226</v>
      </c>
      <c r="C57">
        <v>9</v>
      </c>
      <c r="D57" t="s">
        <v>13</v>
      </c>
      <c r="G57" t="str">
        <f t="shared" si="0"/>
        <v>{'horse_description' : 'Flashfire had a line to the judge being covered.', 'horse_name' : 'Flashfire', 'length' : '9', 'origin' : 'Created'},</v>
      </c>
    </row>
    <row r="58" spans="1:7" x14ac:dyDescent="0.25">
      <c r="A58" t="s">
        <v>205</v>
      </c>
      <c r="B58" t="s">
        <v>218</v>
      </c>
      <c r="C58">
        <v>7</v>
      </c>
      <c r="D58" t="s">
        <v>13</v>
      </c>
      <c r="G58" t="str">
        <f t="shared" si="0"/>
        <v>{'horse_description' : 'Comet Stride had claimer and came widest.', 'horse_name' : 'Comet Stride', 'length' : '7', 'origin' : 'Created'},</v>
      </c>
    </row>
    <row r="59" spans="1:7" x14ac:dyDescent="0.25">
      <c r="A59" t="s">
        <v>212</v>
      </c>
      <c r="B59" t="s">
        <v>219</v>
      </c>
      <c r="C59">
        <v>9</v>
      </c>
      <c r="D59" t="s">
        <v>13</v>
      </c>
      <c r="G59" t="str">
        <f t="shared" si="0"/>
        <v>{'horse_description' : 'Bold Pride was from a shrewd yard and cruising.', 'horse_name' : 'Bold Pride', 'length' : '9', 'origin' : 'Created'},</v>
      </c>
    </row>
    <row r="60" spans="1:7" x14ac:dyDescent="0.25">
      <c r="A60" t="s">
        <v>213</v>
      </c>
      <c r="B60" t="s">
        <v>227</v>
      </c>
      <c r="C60">
        <v>9</v>
      </c>
      <c r="D60" t="s">
        <v>13</v>
      </c>
      <c r="G60" t="str">
        <f t="shared" si="0"/>
        <v>{'horse_description' : 'Oblique runner switched yards, hitting rising ground on steel.', 'horse_name' : 'Oblique', 'length' : '9', 'origin' : 'Created'},</v>
      </c>
    </row>
    <row r="61" spans="1:7" x14ac:dyDescent="0.25">
      <c r="A61" t="s">
        <v>206</v>
      </c>
      <c r="B61" t="s">
        <v>220</v>
      </c>
      <c r="C61">
        <v>9</v>
      </c>
      <c r="D61" t="s">
        <v>13</v>
      </c>
      <c r="G61" t="str">
        <f t="shared" si="0"/>
        <v>{'horse_description' : 'Ruby Ash had a stripped fitter for the reappearance.', 'horse_name' : 'Ruby Ash', 'length' : '9', 'origin' : 'Created'},</v>
      </c>
    </row>
    <row r="62" spans="1:7" x14ac:dyDescent="0.25">
      <c r="A62" t="s">
        <v>207</v>
      </c>
      <c r="B62" t="s">
        <v>221</v>
      </c>
      <c r="C62">
        <v>6</v>
      </c>
      <c r="D62" t="s">
        <v>13</v>
      </c>
      <c r="G62" t="str">
        <f t="shared" si="0"/>
        <v>{'horse_description' : 'Diamond Hood found under minimal cajoling.', 'horse_name' : 'Diamond Hood', 'length' : '6', 'origin' : 'Created'},</v>
      </c>
    </row>
    <row r="63" spans="1:7" x14ac:dyDescent="0.25">
      <c r="A63" t="s">
        <v>208</v>
      </c>
      <c r="B63" t="s">
        <v>222</v>
      </c>
      <c r="C63">
        <v>8</v>
      </c>
      <c r="D63" t="s">
        <v>13</v>
      </c>
      <c r="G63" t="str">
        <f t="shared" si="0"/>
        <v>{'horse_description' : 'Silent Eclipse travelled into the dip, digging deep.', 'horse_name' : 'Silent Eclipse', 'length' : '8', 'origin' : 'Created'},</v>
      </c>
    </row>
    <row r="64" spans="1:7" x14ac:dyDescent="0.25">
      <c r="A64" t="s">
        <v>209</v>
      </c>
      <c r="B64" t="s">
        <v>223</v>
      </c>
      <c r="C64">
        <v>9</v>
      </c>
      <c r="D64" t="s">
        <v>13</v>
      </c>
      <c r="G64" t="str">
        <f t="shared" si="0"/>
        <v>{'horse_description' : 'Wave Rider broke hearts late after dropping in class.', 'horse_name' : 'Wave Rider', 'length' : '9', 'origin' : 'Created'},</v>
      </c>
    </row>
    <row r="65" spans="1:7" x14ac:dyDescent="0.25">
      <c r="A65" t="s">
        <v>215</v>
      </c>
      <c r="B65" t="s">
        <v>224</v>
      </c>
      <c r="C65">
        <v>9</v>
      </c>
      <c r="D65" t="s">
        <v>13</v>
      </c>
      <c r="G65" t="str">
        <f t="shared" si="0"/>
        <v>{'horse_description' : 'Steady Fighter had afterburners, scrambling home the last furlong.', 'horse_name' : 'Steady Fighter', 'length' : '9', 'origin' : 'Created'},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decisions</vt:lpstr>
      <vt:lpstr>jsPsych-text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Esperanza Ramos Badaya</dc:creator>
  <cp:lastModifiedBy>Esperanza Ramos Badaya</cp:lastModifiedBy>
  <dcterms:created xsi:type="dcterms:W3CDTF">2026-04-22T16:30:58Z</dcterms:created>
  <dcterms:modified xsi:type="dcterms:W3CDTF">2026-06-17T12:57:52Z</dcterms:modified>
</cp:coreProperties>
</file>